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869" firstSheet="1" activeTab="1"/>
  </bookViews>
  <sheets>
    <sheet name="Dashboard" sheetId="1" r:id="rId1"/>
    <sheet name="Bid Monitoring" sheetId="2" r:id="rId2"/>
    <sheet name="Search &amp; Filter" sheetId="3" r:id="rId3"/>
    <sheet name="Summary Report" sheetId="4" r:id="rId4"/>
    <sheet name="Daily Monitoring Log" sheetId="5" r:id="rId5"/>
    <sheet name="Submission Tracker" sheetId="6" r:id="rId6"/>
    <sheet name="Manager Report" sheetId="7" r:id="rId7"/>
    <sheet name="Instructions" sheetId="8" r:id="rId8"/>
    <sheet name="ChartData" sheetId="9" state="hidden" r:id="rId9"/>
  </sheets>
  <definedNames>
    <definedName name="_xlnm._FilterDatabase" localSheetId="1" hidden="1">'Bid Monitoring'!$A$2:$U$200</definedName>
    <definedName name="_xlnm.Print_Area" localSheetId="3">'Summary Report'!$A$1:$L$60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<sst xmlns="http://schemas.openxmlformats.org/spreadsheetml/2006/main" count="620" uniqueCount="348">
  <si>
    <t>🏛  PhilGEPS Procurement Monitoring Dashboard</t>
  </si>
  <si>
    <t>Philippine Government Electronic Procurement System | Real-Time Bid Monitoring</t>
  </si>
  <si>
    <t>📋</t>
  </si>
  <si>
    <t>📅</t>
  </si>
  <si>
    <t>📆</t>
  </si>
  <si>
    <t>💰</t>
  </si>
  <si>
    <t>🟢</t>
  </si>
  <si>
    <t>⚠️</t>
  </si>
  <si>
    <t>📤</t>
  </si>
  <si>
    <t>Total Bids Today</t>
  </si>
  <si>
    <t>Total Bids This Week</t>
  </si>
  <si>
    <t>Total Bids This Month</t>
  </si>
  <si>
    <t>Total ABC Value (₱)</t>
  </si>
  <si>
    <t>Active Bids</t>
  </si>
  <si>
    <t>Closing in 7 Days</t>
  </si>
  <si>
    <t>Pending</t>
  </si>
  <si>
    <t>🔍</t>
  </si>
  <si>
    <t>🏆</t>
  </si>
  <si>
    <t>❌</t>
  </si>
  <si>
    <t>🚫</t>
  </si>
  <si>
    <t>📊</t>
  </si>
  <si>
    <t>Submitted</t>
  </si>
  <si>
    <t>Under Evaluation</t>
  </si>
  <si>
    <t>Awarded / Won</t>
  </si>
  <si>
    <t>Lost</t>
  </si>
  <si>
    <t>Cancelled</t>
  </si>
  <si>
    <t>Success Rate</t>
  </si>
  <si>
    <t>🚨  HIGH PRIORITY FLAGS — ABC &gt; ₱5,000,000 &amp; Closing &gt; 10 Days</t>
  </si>
  <si>
    <t>#</t>
  </si>
  <si>
    <t>Reference Number</t>
  </si>
  <si>
    <t>Project Title</t>
  </si>
  <si>
    <t>Procuring Entity</t>
  </si>
  <si>
    <t>Region</t>
  </si>
  <si>
    <t>ABC (₱)</t>
  </si>
  <si>
    <t>Closing Date</t>
  </si>
  <si>
    <t>Days Left</t>
  </si>
  <si>
    <t>Category</t>
  </si>
  <si>
    <t>Status</t>
  </si>
  <si>
    <t>⬅  Add data in "Bid Monitoring" sheet — High-priority bids (ABC &gt; ₱5M, Closing &gt; 10 days) will appear here automatically</t>
  </si>
  <si>
    <t>📊  Analytics &amp; Reporting Charts</t>
  </si>
  <si>
    <t>📈  Opportunities by Region
[Charts will render after adding data to Bid Monitoring sheet]</t>
  </si>
  <si>
    <t>📈  Opportunities by Category
[Charts will render after adding data to Bid Monitoring sheet]</t>
  </si>
  <si>
    <t>📈  Monthly Opportunity Trend
[Charts will render after adding data to Bid Monitoring sheet]</t>
  </si>
  <si>
    <t>📈  ABC Value by Region (₱)
[Charts will render after adding data to Bid Monitoring sheet]</t>
  </si>
  <si>
    <t>📈  Active vs Closed Opportunities
[Charts will render after adding data to Bid Monitoring sheet]</t>
  </si>
  <si>
    <t>📈  Bid Status Distribution
[Charts will render after adding data to Bid Monitoring sheet]</t>
  </si>
  <si>
    <t>📋  BID MONITORING MASTERLIST — PhilGEPS Procurement Opportunities</t>
  </si>
  <si>
    <t>Date
Monitored</t>
  </si>
  <si>
    <t>Reference
Number</t>
  </si>
  <si>
    <t>Province</t>
  </si>
  <si>
    <t>Closing Time</t>
  </si>
  <si>
    <t>Days
Remaining</t>
  </si>
  <si>
    <t>Priority
Level</t>
  </si>
  <si>
    <t>Assigned To</t>
  </si>
  <si>
    <t>Remarks</t>
  </si>
  <si>
    <t>Date
Submitted</t>
  </si>
  <si>
    <t>Bid
Amount</t>
  </si>
  <si>
    <t>Result</t>
  </si>
  <si>
    <t>Opportunity
Score</t>
  </si>
  <si>
    <t>ABC Flag
&gt;5M+10days</t>
  </si>
  <si>
    <t>Recommendation</t>
  </si>
  <si>
    <t>RFQ FILE</t>
  </si>
  <si>
    <t>CARAGA REGIONAL HOSPITAL</t>
  </si>
  <si>
    <t>SUPPLY AND DELIVERY OF VARIOUS INKS AND CONSUMABLES UNDER SINGLE YEAR FRAMEWORK AGREEMENT</t>
  </si>
  <si>
    <t>Office Supplies</t>
  </si>
  <si>
    <t>CARAGA</t>
  </si>
  <si>
    <t>SURIGAO DEL NORTE</t>
  </si>
  <si>
    <t>FOR REVIEW</t>
  </si>
  <si>
    <t>E:\za\Agencies\May 30, 2026\CRH\A. TECHNICAL SPECS.pdf</t>
  </si>
  <si>
    <t>CABADBARAN SOUTH CENTRAL ELEMENTARY SCHOOL - CABADBARAN CITY</t>
  </si>
  <si>
    <t>PR No.: 2026-06-001 sbfp Q-2026-05-001 SBFP Rice for SBFP 2026</t>
  </si>
  <si>
    <t>Food Stuff</t>
  </si>
  <si>
    <t>AGUSAN DEL NORTE</t>
  </si>
  <si>
    <t>Low</t>
  </si>
  <si>
    <t>Cancelled by sir omar</t>
  </si>
  <si>
    <t>PR No.: 2026-06-001 sbfp Q-2026-05-003 SBFP VEGETABLES for SBFP</t>
  </si>
  <si>
    <t>PR No.: 2026-06-002 sbfp Q-2026-05-002 SBFP MEAT for SBFP 2026</t>
  </si>
  <si>
    <t>CARAGA STATE UNIVERSITY - CABADBARAN CAMPUS</t>
  </si>
  <si>
    <t>PROVISION OF 2ND QUARTER OFFICE SUPPLIES FOR USE BY VARIOUS OFFICES, IGF-164-26-05-319</t>
  </si>
  <si>
    <t>Submitting</t>
  </si>
  <si>
    <t>For Checking by maam Astrid</t>
  </si>
  <si>
    <t>SUPPLY AND DELIVERY OF GREYSCALE PAPER A4 SIZE FOR CT SCAN OR XRAY</t>
  </si>
  <si>
    <t>DEPARTMENT OF SOCIAL WELFARE AND DEVELOPMENT -CARAGA</t>
  </si>
  <si>
    <t>PURCHASE OF OFFICE SUPPLIES FOR JULY AND AUGUST FOR 4Ps USE</t>
  </si>
  <si>
    <t>DAVEN</t>
  </si>
  <si>
    <t>Submitted by daven</t>
  </si>
  <si>
    <t>SUBSIDIES EXPENSE: HFG RESIDENT'S SCHOOL SUPPLIES, CY 2026</t>
  </si>
  <si>
    <t>DEPARTMENT OF HEALTH - CARAGA</t>
  </si>
  <si>
    <t>TOKEN AND AWARDS</t>
  </si>
  <si>
    <t>Tokens and Awards</t>
  </si>
  <si>
    <t>Ann</t>
  </si>
  <si>
    <t>FOR PERSONNEL OFFICE USE</t>
  </si>
  <si>
    <t>IT Equipment</t>
  </si>
  <si>
    <t>DEPARTMENT OF AGRICULTURE - CARAGA</t>
  </si>
  <si>
    <t>POCUREMENT OF FARM TOOLS</t>
  </si>
  <si>
    <t>General Merchandise</t>
  </si>
  <si>
    <t>PURCHASE OF DESKTOP/LAPTOP/PRINTERS FRR HRMDD/HRPPMS USAGE</t>
  </si>
  <si>
    <t>PURCHASE OF OFFICE SUPPLIES FOR JULY AND AUGUST FOR 4Ps USE (INK CARTRIDGE)</t>
  </si>
  <si>
    <t>DEPARTMENT OF EDUCATION - DIVISION OF SURIGAO DEL NORTE</t>
  </si>
  <si>
    <t>INVITATION TO BID FOR PROCUREMENT OF E-NUTRIBUN SQUASH VARIANT WITH 150 ML KALAMANSI JUICE, E-NUTRIBUN CARROT VARIANT WITH 150 ML KAMOTE JUICE, AND NUTRIBUNNETS WITH FILLING, WITH CERTIFICATION FROM D</t>
  </si>
  <si>
    <t>Procurement of Animal Feeds (3 Lots)</t>
  </si>
  <si>
    <t>Animal Feeds</t>
  </si>
  <si>
    <t>For Canvas</t>
  </si>
  <si>
    <t>FOR PRICING BY ZAR</t>
  </si>
  <si>
    <t>..\..\..\..\..\..\..\..\..\Agencies\June 09, 2026\DA - CARAGA\Bidding Document.pdf</t>
  </si>
  <si>
    <t>Hygiene Kits</t>
  </si>
  <si>
    <t>For canvass by Ann</t>
  </si>
  <si>
    <t>E:\za\Agencies\June 11, 2026\DOH - Caraga\TOKEN AND AWARDS.pdf</t>
  </si>
  <si>
    <t>DEPARTMENT OF PUBLIC WORKS AND HIGHWAYS - BUTUAN CITY DEO</t>
  </si>
  <si>
    <t>RFQ - 1 unit Desktop Computer (Application Use) and 6 unit Desktop Computer (Administrative Use)</t>
  </si>
  <si>
    <t>For canvass by Zar</t>
  </si>
  <si>
    <t>E:\za\Agencies\June 11, 2026\DPWH - Caraga\SPECS FOR PR NO. 2026-06-0105 DATED 06-02-2026.pdf</t>
  </si>
  <si>
    <t>DEPARTMENT OF SCIENCE AND TECHNOLOGY - CARAGA (CSU-AMPAYON, BUTUAN CITY)</t>
  </si>
  <si>
    <t>Supply &amp; delivery of 5-units Laptop with Complete Accessories</t>
  </si>
  <si>
    <t>E:\za\Agencies\June 11, 2026\DST - Caraga\Request for Quotation-LAPTOP.pdf</t>
  </si>
  <si>
    <t>DEPARTMENT OF SOCIAL WELFARE AND DEVELOPMENT - CARAGA</t>
  </si>
  <si>
    <t>Procurement of Printers and Document Scanners for 4Ps use.</t>
  </si>
  <si>
    <t>For Request Docs</t>
  </si>
  <si>
    <t>Requesting Documents</t>
  </si>
  <si>
    <t>REQUESTING A DOCUMENT TO DSWD</t>
  </si>
  <si>
    <t>Subsidies Expense: HFG Residents' Apparel and Lines School Supplies Use CY 2026</t>
  </si>
  <si>
    <t>Submitting by daven</t>
  </si>
  <si>
    <t>E:\za\Agencies\June 11, 2026\DSWD - Caraga\Request for Quotation.pdf</t>
  </si>
  <si>
    <t>SUPPLY AND DELIVERY OF VARIOUS FOOD ITEMS FOR SUPPLEMENTARY FEEDING PROGRAM IMPLEMENTATION FOR C.Y. 2026 (16th CYCLE)–ALTERNATIVE MEALS FOR DSWD FO CARAGA UNDER NP-TWO FAILED BIDDINGS-2ND POSTING</t>
  </si>
  <si>
    <t>Cancelled by sir omar &amp; ma'am Astrid</t>
  </si>
  <si>
    <t>C:\Users\admin\Desktop\BHM-PhilGeps\Agencies\June 11, 2026\DSWD_1 - Caraga\NP- TWO FAILED BIDDING - NEGOTIATION DOCUMENT.pdf</t>
  </si>
  <si>
    <t>NORTH EASTERN MINDANAO STATE UNIVERSITY</t>
  </si>
  <si>
    <t>Supply and Delivery of Information Technology (ICT Equipment) for DHM Faculty and Staff usage of NEMSU Tandag Campus.</t>
  </si>
  <si>
    <t>Surigao Del Sur</t>
  </si>
  <si>
    <t>C:\Users\admin\Desktop\BHM-PhilGeps\Agencies\June 11, 2026\NEMSU Tandag Campus\RFQ.pdf</t>
  </si>
  <si>
    <t>Supply and Delivery of ICT Equipment &amp; Supplies for ICT Computer and Network Supply and Maintenance use of NEMSU Tandag Campus.</t>
  </si>
  <si>
    <t>C:\Users\admin\Desktop\BHM-PhilGeps\Agencies\June 11, 2026\NEMSU Tandag Campus - 1\RFQ.pdf</t>
  </si>
  <si>
    <t>PROCUREMENT OF VARIOUS FOOD ITEMS FOR SUPPLEMENTARY FEEDING PROGRAM IMPLEMENTATION FOR C.Y. 2026 (16th CYCLE) – ALTERNATIVE MEALS FOR DSWD FIELD OFFICE CARAGA – SIARGAO ISLAND</t>
  </si>
  <si>
    <t>For Review</t>
  </si>
  <si>
    <t>FOR REVIEW BY SIR OMAR</t>
  </si>
  <si>
    <t>..\..\..\..\..\..\..\..\..\Agencies\June 14, 2026\DSWD - CARAGA\BIDDING DOCUMENTS.pdf</t>
  </si>
  <si>
    <t>PATIN-AY NATIONAL HIGH SCHOOL - Agusan Del Sur</t>
  </si>
  <si>
    <t>Procurement of Office Supplies and Materials in the Conduct of PPST-Based and PPSSH-Based PD Program: Training on the Strengthened Senior High School Curriculum (DepEd-Division Office)</t>
  </si>
  <si>
    <t>AGUSAN DEL SUR</t>
  </si>
  <si>
    <t>FOR REVIEW BY ROTCHE</t>
  </si>
  <si>
    <t>..\..\..\..\..\..\..\..\..\Agencies\June 14, 2026\DEPED - CARAGA\1781328153_2026_06_0245_Supplies_Jalalon.pdf</t>
  </si>
  <si>
    <t>SUPPLY AND DELIVERY OF VARIOUS FOOD ITEMS FOR SFP IMPLEMENTATION FOR C.Y. 2026 (16th CYCLE)-HOTMEALS FOR BACUAG, CLAVER, GIGAQUIT AND PLACER SDN UNDER NP-TWO FAILED BIDDING-2ND POSTING</t>
  </si>
  <si>
    <t>FOR EVALUATION</t>
  </si>
  <si>
    <t>..\..\..\..\..\..\..\..\..\Agencies\June 14, 2026\DSWD_BACUAG- CARAGA\NP- TWO FAILED BIDDING - NEGOTIATION DOCUMENT.pdf</t>
  </si>
  <si>
    <t>CARAGA STATE UNIVERSITY</t>
  </si>
  <si>
    <t>RFQ - PROVISION OF OFFICE AND OTHER SUPPLIES AND MATERIALS FOR THE VARIOUS CSU ADMINISTRATIVE OFFICE OPERATIONS. , RAF-101-26-06-355</t>
  </si>
  <si>
    <t>..\..\..\..\..\..\..\..\..\Agencies\JUNE 17, 2026\CSU - CARAGA\Canvass Form.pdf</t>
  </si>
  <si>
    <t>NORTH CABADBARAN CENTRAL ELEMENTARY SCHOOL - CABADBARAN CITY</t>
  </si>
  <si>
    <t>Grocery Items</t>
  </si>
  <si>
    <t>..\..\..\..\..\..\..\..\..\Agencies\June 18, 2026\Cabadbaran Elem\Grocery Items.pdf</t>
  </si>
  <si>
    <t>C:\Users\admin\Desktop\BHM-PhilGeps\Agencies\June 18, 2026\DEPED - CBR_FISH\Grocery Items - fish.pdf</t>
  </si>
  <si>
    <t>Grocery Items - Fish</t>
  </si>
  <si>
    <t>Computer Consumables</t>
  </si>
  <si>
    <t>Inks</t>
  </si>
  <si>
    <t>C:\Users\admin\Desktop\PHILGEPS\13062125.pdf</t>
  </si>
  <si>
    <t>For Checking</t>
  </si>
  <si>
    <t>C:\Users\admin\Desktop\PHILGEPS\13061994.pdf</t>
  </si>
  <si>
    <t>🔍  SEARCH &amp; FILTER — PhilGEPS Bid Monitoring</t>
  </si>
  <si>
    <t>ℹ️  Select filters below using the dropdowns. The results table and summary cards update automatically based on your selection.</t>
  </si>
  <si>
    <t>STATUS FILTER</t>
  </si>
  <si>
    <t>PRIORITY FILTER</t>
  </si>
  <si>
    <t>REGION FILTER</t>
  </si>
  <si>
    <t>CATEGORY FILTER</t>
  </si>
  <si>
    <t>RESULT FILTER</t>
  </si>
  <si>
    <t>All</t>
  </si>
  <si>
    <t>Other</t>
  </si>
  <si>
    <t>📊  FILTERED RESULTS SUMMARY</t>
  </si>
  <si>
    <t>🔥</t>
  </si>
  <si>
    <t>MATCHING BIDS</t>
  </si>
  <si>
    <t>TOTAL ABC VALUE</t>
  </si>
  <si>
    <t>ACTIVE / URGENT</t>
  </si>
  <si>
    <t>SUBMITTED</t>
  </si>
  <si>
    <t>AWARDED / WON</t>
  </si>
  <si>
    <t>📋  FILTERED BID LIST (All matching rows shown below)</t>
  </si>
  <si>
    <t>Ref #</t>
  </si>
  <si>
    <t>Priority</t>
  </si>
  <si>
    <t>🏛  PhilGEPS PROCUREMENT MONITORING — MANAGER SUMMARY REPORT</t>
  </si>
  <si>
    <t>📊  SECTION 1 — OVERALL SNAPSHOT (How are we doing?)</t>
  </si>
  <si>
    <t>TOTAL BIDS MONITORED</t>
  </si>
  <si>
    <t>ACTIVE BIDS</t>
  </si>
  <si>
    <t>SUBMITTED BIDS</t>
  </si>
  <si>
    <t>📈</t>
  </si>
  <si>
    <t>WIN RATE</t>
  </si>
  <si>
    <t>Projects we successfully won</t>
  </si>
  <si>
    <t>Percentage of bids we won out of total active bids</t>
  </si>
  <si>
    <t>⚠️  SECTION 2 — URGENT BIDS (Closing Soon — Needs Immediate Attention)</t>
  </si>
  <si>
    <t>These are bids with closing dates that are TODAY, TOMORROW, or within the next 4 days. Action is needed immediately.</t>
  </si>
  <si>
    <t>Score</t>
  </si>
  <si>
    <t>📋  SECTION 3 — BID STATUS BREAKDOWN (Where are all our bids?)</t>
  </si>
  <si>
    <t>Count</t>
  </si>
  <si>
    <t>Total ABC Value</t>
  </si>
  <si>
    <t>What This Means</t>
  </si>
  <si>
    <t>🆕 New</t>
  </si>
  <si>
    <t>Just found — not yet reviewed</t>
  </si>
  <si>
    <t>👁 For Review</t>
  </si>
  <si>
    <t>Being reviewed by the team</t>
  </si>
  <si>
    <t>🎯 Interested</t>
  </si>
  <si>
    <t>We want to join this bid</t>
  </si>
  <si>
    <t>📄 For Canvas</t>
  </si>
  <si>
    <t>Currently canvassing prices</t>
  </si>
  <si>
    <t>📝 Preparing Docs</t>
  </si>
  <si>
    <t>Documents being prepared</t>
  </si>
  <si>
    <t>⬆️ Submitting</t>
  </si>
  <si>
    <t>In the process of submitting</t>
  </si>
  <si>
    <t>✅ Submitted</t>
  </si>
  <si>
    <t>Bid submitted — waiting for result</t>
  </si>
  <si>
    <t>🔍 Under Evaluation</t>
  </si>
  <si>
    <t>Government is evaluating our bid</t>
  </si>
  <si>
    <t>🏆 Awarded / Won</t>
  </si>
  <si>
    <t>We won this bid!</t>
  </si>
  <si>
    <t>❌ Lost</t>
  </si>
  <si>
    <t>We did not win this bid</t>
  </si>
  <si>
    <t>🚫 Cancelled</t>
  </si>
  <si>
    <t>Bid was cancelled by the agency</t>
  </si>
  <si>
    <t>⭐  SECTION 4 — TOP RECOMMENDED BIDS (Highest opportunity score — join these!)</t>
  </si>
  <si>
    <t>Score is based on 3 factors: (1) ABC Value — bigger budget = higher score, (2) Days Remaining — more time = better chance, (3) Past result — Won before = bonus points. Score is out of 100. 70+ = Highly Recommended.</t>
  </si>
  <si>
    <t>Rank</t>
  </si>
  <si>
    <t>1</t>
  </si>
  <si>
    <t>2</t>
  </si>
  <si>
    <t>3</t>
  </si>
  <si>
    <t>4</t>
  </si>
  <si>
    <t>5</t>
  </si>
  <si>
    <t>📅  DAILY PHILGEPS MONITORING LOG — Auto-Populated from Bid Monitoring</t>
  </si>
  <si>
    <t>✅  Monitoring Date &amp; Monitored By are manual entry. All other columns auto-calculate from Bid Monitoring sheet.</t>
  </si>
  <si>
    <t>Monitoring
Date</t>
  </si>
  <si>
    <t>Day</t>
  </si>
  <si>
    <t>Total Bids
Found</t>
  </si>
  <si>
    <t>Relevant
Opps</t>
  </si>
  <si>
    <t>High
Priority</t>
  </si>
  <si>
    <t>Closing
This Week</t>
  </si>
  <si>
    <t>Endorsed
to Mgr</t>
  </si>
  <si>
    <t>Submitted
Today</t>
  </si>
  <si>
    <t>Monitored By</t>
  </si>
  <si>
    <t>ZARWIN</t>
  </si>
  <si>
    <t>📊  MONTHLY SUMMARY TOTALS</t>
  </si>
  <si>
    <t>TOTALS →</t>
  </si>
  <si>
    <t>📤  SUBMISSION TRACKER — Auto-Linked from Bid Monitoring + Manual Entry</t>
  </si>
  <si>
    <t>ℹ️  Ref#, Project Title, Procuring Entity, ABC auto-pulled from Bid Monitoring when you enter Ref# in Col A. Fill submission details manually.</t>
  </si>
  <si>
    <t>Project Title
(Auto)</t>
  </si>
  <si>
    <t>Procuring Entity
(Auto)</t>
  </si>
  <si>
    <t>ABC (₱)
(Auto)</t>
  </si>
  <si>
    <t>Submission
Date</t>
  </si>
  <si>
    <t>Submission
Method</t>
  </si>
  <si>
    <t>Bid Amount
(₱)</t>
  </si>
  <si>
    <t>Evaluation
Result</t>
  </si>
  <si>
    <t>Award Date</t>
  </si>
  <si>
    <t>Contract
Amount (₱)</t>
  </si>
  <si>
    <t>Profit
Margin %</t>
  </si>
  <si>
    <t>📊  MANAGER REPORT GENERATOR — Daily &amp; Weekly Procurement Summary</t>
  </si>
  <si>
    <t>Report Date:</t>
  </si>
  <si>
    <t>☀️  DAILY MONITORING REPORT</t>
  </si>
  <si>
    <t>Opportunities Found Today</t>
  </si>
  <si>
    <t>New Opportunities (Status = New)</t>
  </si>
  <si>
    <t>High Priority Bids (Closing ≤ 3 days)</t>
  </si>
  <si>
    <t>Bids Closing Within 7 Days</t>
  </si>
  <si>
    <t>Flagged Bids (ABC &gt; ₱5M &amp; Closing &gt; 10 days)</t>
  </si>
  <si>
    <t>Recommended for Participation (Score ≥ 70)</t>
  </si>
  <si>
    <t>Total ABC Value of Active Bids (₱)</t>
  </si>
  <si>
    <t>📅  WEEKLY MONITORING REPORT</t>
  </si>
  <si>
    <t>Total Opportunities Monitored This Week</t>
  </si>
  <si>
    <t>Total ABC Value This Week (₱)</t>
  </si>
  <si>
    <t>Bids Submitted This Week</t>
  </si>
  <si>
    <t>Total Won Bids (All Time)</t>
  </si>
  <si>
    <t>Total Lost Bids (All Time)</t>
  </si>
  <si>
    <t>Total Submitted (All Time)</t>
  </si>
  <si>
    <t>Success Rate (%)</t>
  </si>
  <si>
    <t>Average Opportunity Score</t>
  </si>
  <si>
    <t>High Recommended Bids (Score ≥ 70)</t>
  </si>
  <si>
    <t>📈  KPI PERFORMANCE METRICS &amp; SCORECARD</t>
  </si>
  <si>
    <t>KPI Metric</t>
  </si>
  <si>
    <t>Target</t>
  </si>
  <si>
    <t>Actual</t>
  </si>
  <si>
    <t>Performance</t>
  </si>
  <si>
    <t>Rating</t>
  </si>
  <si>
    <t>Monitoring Coverage Rate</t>
  </si>
  <si>
    <t>100%</t>
  </si>
  <si>
    <t>★★★</t>
  </si>
  <si>
    <t>Bid Submission Rate</t>
  </si>
  <si>
    <t>80%</t>
  </si>
  <si>
    <t>Win Rate</t>
  </si>
  <si>
    <t>30%</t>
  </si>
  <si>
    <t>Avg Days to Submit</t>
  </si>
  <si>
    <t>5 days</t>
  </si>
  <si>
    <t>High Priority Cleared</t>
  </si>
  <si>
    <t>Avg Opportunity Score</t>
  </si>
  <si>
    <t>≥60</t>
  </si>
  <si>
    <t>📖  HOW TO USE — PhilGEPS Monitoring System</t>
  </si>
  <si>
    <t>SHEET 1: Dashboard</t>
  </si>
  <si>
    <t>• Shows live KPI summary cards auto-calculated from Bid Monitoring sheet</t>
  </si>
  <si>
    <t>• "Closing in 7 Days" card highlights urgent bids automatically</t>
  </si>
  <si>
    <t>• High Priority Flag section shows bids with ABC &gt; ₱5M AND closing &gt; 10 days</t>
  </si>
  <si>
    <t>• Charts auto-update as you add data in Bid Monitoring sheet</t>
  </si>
  <si>
    <t>SHEET 2: Bid Monitoring Masterlist</t>
  </si>
  <si>
    <t>• Main data entry sheet — Enter all PhilGEPS opportunities here</t>
  </si>
  <si>
    <t>• Columns J (Days Remaining), K (Priority), R (Score), S (Flag), T (Recommendation) are AUTO-CALCULATED</t>
  </si>
  <si>
    <t>• Use dropdown in Column M (Status) to update bid status</t>
  </si>
  <si>
    <t>• COLOR CODING: Red = Closing ≤3 days | Yellow = Closing ≤7 days | Green = Submitted/Awarded | Gray = Lost/Cancelled</t>
  </si>
  <si>
    <t>• ABC Flag (Column S): Automatically flags bids with ABC &gt; ₱5,000,000 AND closing date &gt; 10 days from today</t>
  </si>
  <si>
    <t>SHEET 3: Daily Monitoring Log</t>
  </si>
  <si>
    <t>• Record daily PhilGEPS monitoring activities here</t>
  </si>
  <si>
    <t>• Enter: Monitoring Date, Opportunities Found, Relevant, Endorsed, High Priority, Remarks</t>
  </si>
  <si>
    <t>• Monthly totals auto-calculated at the bottom</t>
  </si>
  <si>
    <t>SHEET 4: Submission Tracker</t>
  </si>
  <si>
    <t>• Track all bid submissions and results</t>
  </si>
  <si>
    <t>• Profit margin (Column K) auto-calculated from Bid Amount and Contract Amount</t>
  </si>
  <si>
    <t>SHEET 5: Manager Report</t>
  </si>
  <si>
    <t>• Auto-generated Daily and Weekly reports based on all sheets</t>
  </si>
  <si>
    <t>• KPI Scorecard tracks performance against targets</t>
  </si>
  <si>
    <t>• Print or export this sheet for management reporting</t>
  </si>
  <si>
    <t>OPPORTUNITY SCORING SYSTEM (0-100 points)</t>
  </si>
  <si>
    <t>• ABC Value: &gt; ₱5M = 30 pts | ₱1M-₱5M = 20 pts | &lt; ₱1M = 10 pts</t>
  </si>
  <si>
    <t>• Days Remaining: &gt; 14 days = 30 pts | 7-14 days = 20 pts | &lt; 7 days = 10 pts</t>
  </si>
  <si>
    <t>• Past Result: Won = 40 pts | No Record = 20 pts | Lost = 10 pts</t>
  </si>
  <si>
    <t>• ✅ Highly Recommended = 70+ | 🔶 Consider = 50-69 | ❌ Low Priority = &lt; 50</t>
  </si>
  <si>
    <t>CATEGORY</t>
  </si>
  <si>
    <t>COUNT</t>
  </si>
  <si>
    <t>ABC_VALUE</t>
  </si>
  <si>
    <t>STATUS</t>
  </si>
  <si>
    <t>New</t>
  </si>
  <si>
    <t>Interested</t>
  </si>
  <si>
    <t>Preparing Documents</t>
  </si>
  <si>
    <t>Awarded</t>
  </si>
  <si>
    <t>PRIORITY</t>
  </si>
  <si>
    <t>High</t>
  </si>
  <si>
    <t>Medium</t>
  </si>
  <si>
    <t>REGION</t>
  </si>
  <si>
    <t>NCR</t>
  </si>
  <si>
    <t>Region I</t>
  </si>
  <si>
    <t>Region II</t>
  </si>
  <si>
    <t>Region III</t>
  </si>
  <si>
    <t>Region IV-A</t>
  </si>
  <si>
    <t>Region V</t>
  </si>
  <si>
    <t>Region VI</t>
  </si>
  <si>
    <t>Region VII</t>
  </si>
  <si>
    <t>Region X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</si>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</sst>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"/>
    <numFmt numFmtId="177" formatCode="mmmm\ dd&quot;, &quot;yyyy"/>
    <numFmt numFmtId="178" formatCode="&quot;₱&quot;#,##0.00"/>
    <numFmt numFmtId="179" formatCode="0.0%"/>
    <numFmt numFmtId="180" formatCode="0.0"/>
    <numFmt numFmtId="181" formatCode="dd/mmm/yy"/>
    <numFmt numFmtId="182" formatCode="dd/mm/yy"/>
    <numFmt numFmtId="183" formatCode="[$-409]h:mm:ss\ AM/PM;@"/>
    <numFmt numFmtId="184" formatCode="&quot;As of  &quot;mmmm\ dd&quot;, &quot;yyyy"/>
  </numFmts>
  <fonts count="86">
    <font>
      <sz val="11"/>
      <color theme="1"/>
      <name val="Calibri"/>
      <charset val="1"/>
    </font>
    <font>
      <b/>
      <sz val="11"/>
      <color rgb="FFFFFFFF"/>
      <name val="Arial"/>
      <charset val="134"/>
    </font>
    <font>
      <b/>
      <sz val="16"/>
      <color rgb="FFFFFFFF"/>
      <name val="Arial"/>
      <charset val="134"/>
    </font>
    <font>
      <b/>
      <sz val="13"/>
      <color rgb="FFFFFFFF"/>
      <name val="Arial"/>
      <charset val="134"/>
    </font>
    <font>
      <sz val="10"/>
      <color rgb="FF000000"/>
      <name val="Arial"/>
      <charset val="134"/>
    </font>
    <font>
      <b/>
      <sz val="14"/>
      <color rgb="FFFFFFFF"/>
      <name val="Arial"/>
      <charset val="134"/>
    </font>
    <font>
      <b/>
      <sz val="10"/>
      <color rgb="FF000000"/>
      <name val="Arial"/>
      <charset val="134"/>
    </font>
    <font>
      <b/>
      <sz val="12"/>
      <color rgb="FF2563EB"/>
      <name val="Arial"/>
      <charset val="134"/>
    </font>
    <font>
      <sz val="10"/>
      <name val="Arial"/>
      <charset val="134"/>
    </font>
    <font>
      <b/>
      <sz val="12"/>
      <color rgb="FF1B3A6B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color rgb="FF2563EB"/>
      <name val="Arial"/>
      <charset val="134"/>
    </font>
    <font>
      <b/>
      <sz val="9"/>
      <name val="Arial"/>
      <charset val="134"/>
    </font>
    <font>
      <sz val="10"/>
      <color rgb="FFF59E0B"/>
      <name val="Arial"/>
      <charset val="134"/>
    </font>
    <font>
      <i/>
      <sz val="9"/>
      <color rgb="FF374151"/>
      <name val="Arial"/>
      <charset val="134"/>
    </font>
    <font>
      <b/>
      <sz val="9"/>
      <color rgb="FFFFFFFF"/>
      <name val="Arial"/>
      <charset val="134"/>
    </font>
    <font>
      <b/>
      <sz val="11"/>
      <color rgb="FF0D9488"/>
      <name val="Arial"/>
      <charset val="134"/>
    </font>
    <font>
      <b/>
      <sz val="9"/>
      <color rgb="FF0D9488"/>
      <name val="Arial"/>
      <charset val="134"/>
    </font>
    <font>
      <i/>
      <sz val="10"/>
      <color rgb="FF93C5FD"/>
      <name val="Arial"/>
      <charset val="134"/>
    </font>
    <font>
      <b/>
      <sz val="12"/>
      <color rgb="FFFFFFFF"/>
      <name val="Arial"/>
      <charset val="134"/>
    </font>
    <font>
      <sz val="20"/>
      <name val="Arial"/>
      <charset val="134"/>
    </font>
    <font>
      <sz val="8"/>
      <color rgb="FFBFDBFE"/>
      <name val="Arial"/>
      <charset val="134"/>
    </font>
    <font>
      <b/>
      <sz val="22"/>
      <color rgb="FFFFFFFF"/>
      <name val="Arial"/>
      <charset val="134"/>
    </font>
    <font>
      <i/>
      <sz val="8"/>
      <color rgb="FF475569"/>
      <name val="Arial"/>
      <charset val="134"/>
    </font>
    <font>
      <i/>
      <sz val="9"/>
      <color rgb="FF991B1B"/>
      <name val="Arial"/>
      <charset val="134"/>
    </font>
    <font>
      <sz val="9"/>
      <color rgb="FF374151"/>
      <name val="Arial"/>
      <charset val="134"/>
    </font>
    <font>
      <b/>
      <sz val="14"/>
      <color rgb="FF475569"/>
      <name val="Arial"/>
      <charset val="134"/>
    </font>
    <font>
      <i/>
      <sz val="8"/>
      <color rgb="FF6B7280"/>
      <name val="Arial"/>
      <charset val="134"/>
    </font>
    <font>
      <b/>
      <sz val="14"/>
      <color rgb="FFD97706"/>
      <name val="Arial"/>
      <charset val="134"/>
    </font>
    <font>
      <b/>
      <sz val="14"/>
      <color rgb="FF4F46E5"/>
      <name val="Arial"/>
      <charset val="134"/>
    </font>
    <font>
      <b/>
      <sz val="14"/>
      <color rgb="FF059669"/>
      <name val="Arial"/>
      <charset val="134"/>
    </font>
    <font>
      <b/>
      <sz val="14"/>
      <color rgb="FF2563EB"/>
      <name val="Arial"/>
      <charset val="134"/>
    </font>
    <font>
      <b/>
      <sz val="14"/>
      <color rgb="FF0891B2"/>
      <name val="Arial"/>
      <charset val="134"/>
    </font>
    <font>
      <b/>
      <sz val="14"/>
      <color rgb="FF0D9488"/>
      <name val="Arial"/>
      <charset val="134"/>
    </font>
    <font>
      <b/>
      <sz val="14"/>
      <color rgb="FF7C3AED"/>
      <name val="Arial"/>
      <charset val="134"/>
    </font>
    <font>
      <b/>
      <sz val="14"/>
      <color rgb="FF16A34A"/>
      <name val="Arial"/>
      <charset val="134"/>
    </font>
    <font>
      <b/>
      <sz val="14"/>
      <color rgb="FFB91C1C"/>
      <name val="Arial"/>
      <charset val="134"/>
    </font>
    <font>
      <b/>
      <sz val="14"/>
      <color rgb="FF1B3A6B"/>
      <name val="Arial"/>
      <charset val="134"/>
    </font>
    <font>
      <i/>
      <sz val="8"/>
      <color rgb="FF78350F"/>
      <name val="Arial"/>
      <charset val="134"/>
    </font>
    <font>
      <i/>
      <sz val="8"/>
      <color rgb="FF94A3B8"/>
      <name val="Arial"/>
      <charset val="134"/>
    </font>
    <font>
      <b/>
      <sz val="8"/>
      <color rgb="FFFFFFFF"/>
      <name val="Arial"/>
      <charset val="134"/>
    </font>
    <font>
      <b/>
      <sz val="11"/>
      <color rgb="FF1B3A6B"/>
      <name val="Arial"/>
      <charset val="134"/>
    </font>
    <font>
      <sz val="16"/>
      <name val="Arial"/>
      <charset val="134"/>
    </font>
    <font>
      <b/>
      <sz val="18"/>
      <color rgb="FFFFFFFF"/>
      <name val="Arial"/>
      <charset val="134"/>
    </font>
    <font>
      <b/>
      <sz val="9"/>
      <color rgb="FFFFFFFF"/>
      <name val="Calibri"/>
      <charset val="134"/>
    </font>
    <font>
      <sz val="8"/>
      <color rgb="FF000000"/>
      <name val="Arial"/>
      <charset val="134"/>
    </font>
    <font>
      <sz val="9"/>
      <color theme="1"/>
      <name val="Arial"/>
      <charset val="134"/>
    </font>
    <font>
      <u/>
      <sz val="11"/>
      <color rgb="FF800080"/>
      <name val="Calibri"/>
      <charset val="134"/>
      <scheme val="minor"/>
    </font>
    <font>
      <sz val="9"/>
      <name val="Calibri"/>
      <charset val="134"/>
    </font>
    <font>
      <sz val="9"/>
      <color rgb="FF000000"/>
      <name val="Arial"/>
      <charset val="134"/>
    </font>
    <font>
      <sz val="9"/>
      <name val="Arial"/>
      <charset val="1"/>
    </font>
    <font>
      <u/>
      <sz val="11"/>
      <color rgb="FF0000FF"/>
      <name val="Calibri"/>
      <charset val="134"/>
      <scheme val="minor"/>
    </font>
    <font>
      <sz val="9"/>
      <name val="Arial"/>
      <charset val="134"/>
    </font>
    <font>
      <b/>
      <sz val="20"/>
      <color rgb="FFFFFFFF"/>
      <name val="Arial"/>
      <charset val="134"/>
    </font>
    <font>
      <sz val="10"/>
      <color rgb="FFDBEAFE"/>
      <name val="Arial"/>
      <charset val="134"/>
    </font>
    <font>
      <i/>
      <sz val="9"/>
      <color rgb="FF6B7280"/>
      <name val="Arial"/>
      <charset val="134"/>
    </font>
    <font>
      <sz val="18"/>
      <color rgb="FFFFFFFF"/>
      <name val="Arial"/>
      <charset val="134"/>
    </font>
    <font>
      <sz val="18"/>
      <color rgb="FFFFFFFF"/>
      <name val="Calibri"/>
      <charset val="134"/>
    </font>
    <font>
      <sz val="9"/>
      <color rgb="FFFFFFFF"/>
      <name val="Arial"/>
      <charset val="134"/>
    </font>
    <font>
      <sz val="9"/>
      <color rgb="FFFFFFFF"/>
      <name val="Calibri"/>
      <charset val="134"/>
    </font>
    <font>
      <b/>
      <sz val="20"/>
      <color rgb="FFFFFFFF"/>
      <name val="Calibri"/>
      <charset val="134"/>
    </font>
    <font>
      <b/>
      <sz val="11"/>
      <color rgb="FF2563EB"/>
      <name val="Arial"/>
      <charset val="134"/>
    </font>
    <font>
      <b/>
      <sz val="11"/>
      <color rgb="FFCA8A04"/>
      <name val="Arial"/>
      <charset val="134"/>
    </font>
    <font>
      <b/>
      <sz val="11"/>
      <color rgb="FF7C3AED"/>
      <name val="Arial"/>
      <charset val="134"/>
    </font>
    <font>
      <b/>
      <sz val="11"/>
      <color rgb="FF16A34A"/>
      <name val="Arial"/>
      <charset val="134"/>
    </font>
    <font>
      <b/>
      <sz val="11"/>
      <color rgb="FFEA580C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1B3A6B"/>
        <bgColor rgb="FF243B6E"/>
      </patternFill>
    </fill>
    <fill>
      <patternFill patternType="solid">
        <fgColor rgb="FFF3F4F6"/>
        <bgColor rgb="FFF1F5F9"/>
      </patternFill>
    </fill>
    <fill>
      <patternFill patternType="solid">
        <fgColor rgb="FF2563EB"/>
        <bgColor rgb="FF0369A1"/>
      </patternFill>
    </fill>
    <fill>
      <patternFill patternType="solid">
        <fgColor rgb="FF0D9488"/>
        <bgColor rgb="FF059669"/>
      </patternFill>
    </fill>
    <fill>
      <patternFill patternType="solid">
        <fgColor rgb="FF7C3AED"/>
        <bgColor rgb="FF4F46E5"/>
      </patternFill>
    </fill>
    <fill>
      <patternFill patternType="solid">
        <fgColor rgb="FFF59E0B"/>
        <bgColor rgb="FFD4A017"/>
      </patternFill>
    </fill>
    <fill>
      <patternFill patternType="solid">
        <fgColor rgb="FFDC2626"/>
        <bgColor rgb="FFB91C1C"/>
      </patternFill>
    </fill>
    <fill>
      <patternFill patternType="solid">
        <fgColor rgb="FFDBEAFE"/>
        <bgColor rgb="FFEDE9FE"/>
      </patternFill>
    </fill>
    <fill>
      <patternFill patternType="solid">
        <fgColor rgb="FFFFFFFF"/>
        <bgColor rgb="FFF8FAFC"/>
      </patternFill>
    </fill>
    <fill>
      <patternFill patternType="solid">
        <fgColor rgb="FF374151"/>
        <bgColor rgb="FF243B6E"/>
      </patternFill>
    </fill>
    <fill>
      <patternFill patternType="solid">
        <fgColor rgb="FFEDE9FE"/>
        <bgColor rgb="FFF5F3FF"/>
      </patternFill>
    </fill>
    <fill>
      <patternFill patternType="solid">
        <fgColor rgb="FFF5F3FF"/>
        <bgColor rgb="FFF3F4F6"/>
      </patternFill>
    </fill>
    <fill>
      <patternFill patternType="solid">
        <fgColor rgb="FFCCFBF1"/>
        <bgColor rgb="FFDCFCE7"/>
      </patternFill>
    </fill>
    <fill>
      <patternFill patternType="solid">
        <fgColor rgb="FFF0FDFA"/>
        <bgColor rgb="FFF8FAFC"/>
      </patternFill>
    </fill>
    <fill>
      <patternFill patternType="solid">
        <fgColor rgb="FF243B6E"/>
        <bgColor rgb="FF1B3A6B"/>
      </patternFill>
    </fill>
    <fill>
      <patternFill patternType="solid">
        <fgColor rgb="FF0891B2"/>
        <bgColor rgb="FF0D9488"/>
      </patternFill>
    </fill>
    <fill>
      <patternFill patternType="solid">
        <fgColor rgb="FF16A34A"/>
        <bgColor rgb="FF00A550"/>
      </patternFill>
    </fill>
    <fill>
      <patternFill patternType="solid">
        <fgColor rgb="FFD4A017"/>
        <bgColor rgb="FFF59E0B"/>
      </patternFill>
    </fill>
    <fill>
      <patternFill patternType="solid">
        <fgColor rgb="FFF8FAFC"/>
        <bgColor rgb="FFFFF7F7"/>
      </patternFill>
    </fill>
    <fill>
      <patternFill patternType="solid">
        <fgColor rgb="FFE60000"/>
        <bgColor rgb="FFFF0000"/>
      </patternFill>
    </fill>
    <fill>
      <patternFill patternType="solid">
        <fgColor rgb="FFFFF1F2"/>
        <bgColor rgb="FFFFF7F7"/>
      </patternFill>
    </fill>
    <fill>
      <patternFill patternType="solid">
        <fgColor rgb="FFFFF7F7"/>
        <bgColor rgb="FFF8FAFC"/>
      </patternFill>
    </fill>
    <fill>
      <patternFill patternType="solid">
        <fgColor rgb="FF475569"/>
        <bgColor rgb="FF374151"/>
      </patternFill>
    </fill>
    <fill>
      <patternFill patternType="solid">
        <fgColor rgb="FFD97706"/>
        <bgColor rgb="FFCA8A04"/>
      </patternFill>
    </fill>
    <fill>
      <patternFill patternType="solid">
        <fgColor rgb="FF4F46E5"/>
        <bgColor rgb="FF7C3AED"/>
      </patternFill>
    </fill>
    <fill>
      <patternFill patternType="solid">
        <fgColor rgb="FF059669"/>
        <bgColor rgb="FF0D9488"/>
      </patternFill>
    </fill>
    <fill>
      <patternFill patternType="solid">
        <fgColor rgb="FFB91C1C"/>
        <bgColor rgb="FFDC2626"/>
      </patternFill>
    </fill>
    <fill>
      <patternFill patternType="solid">
        <fgColor rgb="FF1C1C1C"/>
        <bgColor rgb="FF111111"/>
      </patternFill>
    </fill>
    <fill>
      <patternFill patternType="solid">
        <fgColor rgb="FFFFFBEB"/>
        <bgColor rgb="FFFFF7F7"/>
      </patternFill>
    </fill>
    <fill>
      <patternFill patternType="solid">
        <fgColor rgb="FFF1F5F9"/>
        <bgColor rgb="FFF3F4F6"/>
      </patternFill>
    </fill>
    <fill>
      <patternFill patternType="solid">
        <fgColor theme="7"/>
        <bgColor rgb="FF2563EB"/>
      </patternFill>
    </fill>
    <fill>
      <patternFill patternType="solid">
        <fgColor theme="7"/>
        <bgColor indexed="64"/>
      </patternFill>
    </fill>
    <fill>
      <patternFill patternType="solid">
        <fgColor rgb="FF0369A1"/>
        <bgColor rgb="FF2563EB"/>
      </patternFill>
    </fill>
    <fill>
      <patternFill patternType="mediumGray">
        <fgColor rgb="FF687484"/>
        <bgColor rgb="FF6B7181"/>
      </patternFill>
    </fill>
    <fill>
      <patternFill patternType="solid">
        <fgColor rgb="FFFEF9C3"/>
        <bgColor rgb="FFFFEDD5"/>
      </patternFill>
    </fill>
    <fill>
      <patternFill patternType="solid">
        <fgColor rgb="FFDCFCE7"/>
        <bgColor rgb="FFCCFBF1"/>
      </patternFill>
    </fill>
    <fill>
      <patternFill patternType="solid">
        <fgColor rgb="FFFFEDD5"/>
        <bgColor rgb="FFFEE2E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687484"/>
      </left>
      <right style="medium">
        <color rgb="FF687484"/>
      </right>
      <top style="medium">
        <color rgb="FF687484"/>
      </top>
      <bottom style="medium">
        <color rgb="FF687484"/>
      </bottom>
      <diagonal/>
    </border>
    <border>
      <left/>
      <right/>
      <top/>
      <bottom style="thin">
        <color rgb="FFD1D5DB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919696"/>
      </left>
      <right/>
      <top style="medium">
        <color rgb="FF91969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7" fillId="0" borderId="0" applyFont="0" applyFill="0" applyBorder="0" applyAlignment="0" applyProtection="0">
      <alignment vertical="center"/>
    </xf>
    <xf numFmtId="44" fontId="67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2" fontId="67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7" fillId="39" borderId="9" applyNumberFormat="0" applyFon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0" applyNumberFormat="0" applyFill="0" applyAlignment="0" applyProtection="0">
      <alignment vertical="center"/>
    </xf>
    <xf numFmtId="0" fontId="74" fillId="0" borderId="11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0" borderId="12" applyNumberFormat="0" applyAlignment="0" applyProtection="0">
      <alignment vertical="center"/>
    </xf>
    <xf numFmtId="0" fontId="76" fillId="41" borderId="13" applyNumberFormat="0" applyAlignment="0" applyProtection="0">
      <alignment vertical="center"/>
    </xf>
    <xf numFmtId="0" fontId="77" fillId="41" borderId="12" applyNumberFormat="0" applyAlignment="0" applyProtection="0">
      <alignment vertical="center"/>
    </xf>
    <xf numFmtId="0" fontId="78" fillId="42" borderId="14" applyNumberFormat="0" applyAlignment="0" applyProtection="0">
      <alignment vertical="center"/>
    </xf>
    <xf numFmtId="0" fontId="79" fillId="0" borderId="15" applyNumberFormat="0" applyFill="0" applyAlignment="0" applyProtection="0">
      <alignment vertical="center"/>
    </xf>
    <xf numFmtId="0" fontId="80" fillId="0" borderId="16" applyNumberFormat="0" applyFill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84" fillId="50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84" fillId="54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84" fillId="58" borderId="0" applyNumberFormat="0" applyBorder="0" applyAlignment="0" applyProtection="0">
      <alignment vertical="center"/>
    </xf>
    <xf numFmtId="0" fontId="85" fillId="59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84" fillId="61" borderId="0" applyNumberFormat="0" applyBorder="0" applyAlignment="0" applyProtection="0">
      <alignment vertical="center"/>
    </xf>
    <xf numFmtId="0" fontId="84" fillId="62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  <xf numFmtId="0" fontId="84" fillId="65" borderId="0" applyNumberFormat="0" applyBorder="0" applyAlignment="0" applyProtection="0">
      <alignment vertical="center"/>
    </xf>
    <xf numFmtId="0" fontId="84" fillId="66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68" borderId="0" applyNumberFormat="0" applyBorder="0" applyAlignment="0" applyProtection="0">
      <alignment vertical="center"/>
    </xf>
    <xf numFmtId="0" fontId="84" fillId="69" borderId="0" applyNumberFormat="0" applyBorder="0" applyAlignment="0" applyProtection="0">
      <alignment vertical="center"/>
    </xf>
  </cellStyleXfs>
  <cellXfs count="24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 applyAlignment="1"/>
    <xf numFmtId="0" fontId="2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177" fontId="7" fillId="0" borderId="0" xfId="0" applyNumberFormat="1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indent="2"/>
    </xf>
    <xf numFmtId="0" fontId="9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 indent="2"/>
    </xf>
    <xf numFmtId="178" fontId="9" fillId="9" borderId="2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79" fontId="9" fillId="9" borderId="2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indent="1"/>
    </xf>
    <xf numFmtId="0" fontId="12" fillId="10" borderId="1" xfId="0" applyFont="1" applyFill="1" applyBorder="1" applyAlignment="1">
      <alignment horizontal="center" vertical="center"/>
    </xf>
    <xf numFmtId="179" fontId="13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0" fontId="12" fillId="3" borderId="1" xfId="0" applyFont="1" applyFill="1" applyBorder="1" applyAlignment="1">
      <alignment horizontal="center" vertical="center"/>
    </xf>
    <xf numFmtId="179" fontId="13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80" fontId="13" fillId="3" borderId="1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indent="2"/>
    </xf>
    <xf numFmtId="0" fontId="16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178" fontId="11" fillId="10" borderId="1" xfId="0" applyNumberFormat="1" applyFont="1" applyFill="1" applyBorder="1" applyAlignment="1">
      <alignment horizontal="center" vertical="center"/>
    </xf>
    <xf numFmtId="58" fontId="11" fillId="10" borderId="1" xfId="0" applyNumberFormat="1" applyFont="1" applyFill="1" applyBorder="1" applyAlignment="1">
      <alignment horizontal="center" vertical="center"/>
    </xf>
    <xf numFmtId="179" fontId="11" fillId="10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 wrapText="1"/>
    </xf>
    <xf numFmtId="178" fontId="11" fillId="13" borderId="1" xfId="0" applyNumberFormat="1" applyFont="1" applyFill="1" applyBorder="1" applyAlignment="1">
      <alignment horizontal="center" vertical="center"/>
    </xf>
    <xf numFmtId="58" fontId="11" fillId="13" borderId="1" xfId="0" applyNumberFormat="1" applyFont="1" applyFill="1" applyBorder="1" applyAlignment="1">
      <alignment horizontal="center" vertical="center"/>
    </xf>
    <xf numFmtId="179" fontId="11" fillId="13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5" fillId="14" borderId="0" xfId="0" applyFont="1" applyFill="1" applyBorder="1" applyAlignment="1">
      <alignment horizontal="left" vertical="center" indent="2"/>
    </xf>
    <xf numFmtId="0" fontId="16" fillId="5" borderId="1" xfId="0" applyFont="1" applyFill="1" applyBorder="1" applyAlignment="1">
      <alignment horizontal="center" vertical="center" wrapText="1"/>
    </xf>
    <xf numFmtId="58" fontId="11" fillId="15" borderId="1" xfId="0" applyNumberFormat="1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0" fillId="0" borderId="0" xfId="0" applyBorder="1" applyAlignment="1"/>
    <xf numFmtId="0" fontId="10" fillId="5" borderId="0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8" fillId="0" borderId="0" xfId="0" applyFont="1" applyAlignment="1"/>
    <xf numFmtId="0" fontId="19" fillId="16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 wrapText="1"/>
    </xf>
    <xf numFmtId="0" fontId="22" fillId="6" borderId="0" xfId="0" applyFont="1" applyFill="1" applyBorder="1" applyAlignment="1">
      <alignment horizontal="center" vertical="center" wrapText="1"/>
    </xf>
    <xf numFmtId="1" fontId="23" fillId="2" borderId="0" xfId="0" applyNumberFormat="1" applyFont="1" applyFill="1" applyBorder="1" applyAlignment="1">
      <alignment horizontal="center" vertical="center"/>
    </xf>
    <xf numFmtId="176" fontId="23" fillId="6" borderId="0" xfId="0" applyNumberFormat="1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21" fillId="17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 wrapText="1"/>
    </xf>
    <xf numFmtId="0" fontId="22" fillId="17" borderId="0" xfId="0" applyFont="1" applyFill="1" applyBorder="1" applyAlignment="1">
      <alignment horizontal="center" vertical="center" wrapText="1"/>
    </xf>
    <xf numFmtId="1" fontId="23" fillId="5" borderId="0" xfId="0" applyNumberFormat="1" applyFont="1" applyFill="1" applyBorder="1" applyAlignment="1">
      <alignment horizontal="center" vertical="center"/>
    </xf>
    <xf numFmtId="1" fontId="23" fillId="17" borderId="0" xfId="0" applyNumberFormat="1" applyFont="1" applyFill="1" applyBorder="1" applyAlignment="1">
      <alignment horizontal="center" vertical="center"/>
    </xf>
    <xf numFmtId="0" fontId="21" fillId="18" borderId="0" xfId="0" applyFont="1" applyFill="1" applyBorder="1" applyAlignment="1">
      <alignment horizontal="center" vertical="center"/>
    </xf>
    <xf numFmtId="0" fontId="21" fillId="19" borderId="0" xfId="0" applyFont="1" applyFill="1" applyBorder="1" applyAlignment="1">
      <alignment horizontal="center" vertical="center"/>
    </xf>
    <xf numFmtId="0" fontId="22" fillId="18" borderId="0" xfId="0" applyFont="1" applyFill="1" applyBorder="1" applyAlignment="1">
      <alignment horizontal="center" vertical="center" wrapText="1"/>
    </xf>
    <xf numFmtId="0" fontId="22" fillId="19" borderId="0" xfId="0" applyFont="1" applyFill="1" applyBorder="1" applyAlignment="1">
      <alignment horizontal="center" vertical="center" wrapText="1"/>
    </xf>
    <xf numFmtId="1" fontId="23" fillId="18" borderId="0" xfId="0" applyNumberFormat="1" applyFont="1" applyFill="1" applyBorder="1" applyAlignment="1">
      <alignment horizontal="center" vertical="center"/>
    </xf>
    <xf numFmtId="179" fontId="23" fillId="19" borderId="0" xfId="0" applyNumberFormat="1" applyFont="1" applyFill="1" applyBorder="1" applyAlignment="1">
      <alignment horizontal="center" vertical="center"/>
    </xf>
    <xf numFmtId="0" fontId="24" fillId="20" borderId="0" xfId="0" applyFont="1" applyFill="1" applyBorder="1" applyAlignment="1">
      <alignment horizontal="center" vertical="center" wrapText="1"/>
    </xf>
    <xf numFmtId="0" fontId="20" fillId="21" borderId="0" xfId="0" applyFont="1" applyFill="1" applyBorder="1" applyAlignment="1">
      <alignment horizontal="left" vertical="center"/>
    </xf>
    <xf numFmtId="0" fontId="25" fillId="22" borderId="0" xfId="0" applyFont="1" applyFill="1" applyBorder="1" applyAlignment="1">
      <alignment horizontal="left" vertical="center" wrapText="1"/>
    </xf>
    <xf numFmtId="0" fontId="16" fillId="21" borderId="3" xfId="0" applyFont="1" applyFill="1" applyBorder="1" applyAlignment="1">
      <alignment horizontal="center" vertical="center" wrapText="1"/>
    </xf>
    <xf numFmtId="0" fontId="16" fillId="21" borderId="3" xfId="0" applyFont="1" applyFill="1" applyBorder="1" applyAlignment="1">
      <alignment horizontal="center" vertical="center"/>
    </xf>
    <xf numFmtId="0" fontId="26" fillId="23" borderId="3" xfId="0" applyFont="1" applyFill="1" applyBorder="1" applyAlignment="1">
      <alignment horizontal="center" vertical="center"/>
    </xf>
    <xf numFmtId="0" fontId="26" fillId="23" borderId="3" xfId="0" applyFont="1" applyFill="1" applyBorder="1" applyAlignment="1">
      <alignment horizontal="center" vertical="center" wrapText="1"/>
    </xf>
    <xf numFmtId="176" fontId="26" fillId="23" borderId="3" xfId="0" applyNumberFormat="1" applyFont="1" applyFill="1" applyBorder="1" applyAlignment="1">
      <alignment horizontal="center" vertical="center"/>
    </xf>
    <xf numFmtId="181" fontId="26" fillId="23" borderId="3" xfId="0" applyNumberFormat="1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center" vertical="center" wrapText="1"/>
    </xf>
    <xf numFmtId="176" fontId="26" fillId="10" borderId="3" xfId="0" applyNumberFormat="1" applyFont="1" applyFill="1" applyBorder="1" applyAlignment="1">
      <alignment horizontal="center" vertical="center"/>
    </xf>
    <xf numFmtId="181" fontId="26" fillId="10" borderId="3" xfId="0" applyNumberFormat="1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left" vertical="center"/>
    </xf>
    <xf numFmtId="0" fontId="16" fillId="11" borderId="4" xfId="0" applyFont="1" applyFill="1" applyBorder="1" applyAlignment="1">
      <alignment horizontal="center" vertical="center"/>
    </xf>
    <xf numFmtId="0" fontId="16" fillId="24" borderId="4" xfId="0" applyFont="1" applyFill="1" applyBorder="1" applyAlignment="1">
      <alignment horizontal="left" vertical="center"/>
    </xf>
    <xf numFmtId="0" fontId="27" fillId="20" borderId="4" xfId="0" applyFont="1" applyFill="1" applyBorder="1" applyAlignment="1">
      <alignment horizontal="center" vertical="center"/>
    </xf>
    <xf numFmtId="176" fontId="26" fillId="20" borderId="4" xfId="0" applyNumberFormat="1" applyFont="1" applyFill="1" applyBorder="1" applyAlignment="1">
      <alignment horizontal="center" vertical="center"/>
    </xf>
    <xf numFmtId="0" fontId="28" fillId="20" borderId="4" xfId="0" applyFont="1" applyFill="1" applyBorder="1" applyAlignment="1">
      <alignment horizontal="left" vertical="center" wrapText="1"/>
    </xf>
    <xf numFmtId="0" fontId="16" fillId="25" borderId="4" xfId="0" applyFont="1" applyFill="1" applyBorder="1" applyAlignment="1">
      <alignment horizontal="left" vertical="center"/>
    </xf>
    <xf numFmtId="0" fontId="29" fillId="20" borderId="4" xfId="0" applyFont="1" applyFill="1" applyBorder="1" applyAlignment="1">
      <alignment horizontal="center" vertical="center"/>
    </xf>
    <xf numFmtId="0" fontId="16" fillId="26" borderId="4" xfId="0" applyFont="1" applyFill="1" applyBorder="1" applyAlignment="1">
      <alignment horizontal="left" vertical="center"/>
    </xf>
    <xf numFmtId="0" fontId="30" fillId="20" borderId="4" xfId="0" applyFont="1" applyFill="1" applyBorder="1" applyAlignment="1">
      <alignment horizontal="center" vertical="center"/>
    </xf>
    <xf numFmtId="0" fontId="16" fillId="27" borderId="4" xfId="0" applyFont="1" applyFill="1" applyBorder="1" applyAlignment="1">
      <alignment horizontal="left" vertical="center"/>
    </xf>
    <xf numFmtId="0" fontId="31" fillId="20" borderId="4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/>
    </xf>
    <xf numFmtId="0" fontId="32" fillId="20" borderId="4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left" vertical="center"/>
    </xf>
    <xf numFmtId="0" fontId="33" fillId="20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left" vertical="center"/>
    </xf>
    <xf numFmtId="0" fontId="34" fillId="20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left" vertical="center"/>
    </xf>
    <xf numFmtId="0" fontId="35" fillId="20" borderId="4" xfId="0" applyFont="1" applyFill="1" applyBorder="1" applyAlignment="1">
      <alignment horizontal="center" vertical="center"/>
    </xf>
    <xf numFmtId="0" fontId="16" fillId="18" borderId="4" xfId="0" applyFont="1" applyFill="1" applyBorder="1" applyAlignment="1">
      <alignment horizontal="left" vertical="center"/>
    </xf>
    <xf numFmtId="0" fontId="36" fillId="20" borderId="4" xfId="0" applyFont="1" applyFill="1" applyBorder="1" applyAlignment="1">
      <alignment horizontal="center" vertical="center"/>
    </xf>
    <xf numFmtId="0" fontId="16" fillId="28" borderId="4" xfId="0" applyFont="1" applyFill="1" applyBorder="1" applyAlignment="1">
      <alignment horizontal="left" vertical="center"/>
    </xf>
    <xf numFmtId="0" fontId="37" fillId="20" borderId="4" xfId="0" applyFont="1" applyFill="1" applyBorder="1" applyAlignment="1">
      <alignment horizontal="center" vertical="center"/>
    </xf>
    <xf numFmtId="0" fontId="16" fillId="29" borderId="4" xfId="0" applyFont="1" applyFill="1" applyBorder="1" applyAlignment="1">
      <alignment horizontal="left" vertical="center"/>
    </xf>
    <xf numFmtId="0" fontId="38" fillId="20" borderId="4" xfId="0" applyFont="1" applyFill="1" applyBorder="1" applyAlignment="1">
      <alignment horizontal="center" vertical="center"/>
    </xf>
    <xf numFmtId="0" fontId="20" fillId="19" borderId="0" xfId="0" applyFont="1" applyFill="1" applyBorder="1" applyAlignment="1">
      <alignment horizontal="left" vertical="center"/>
    </xf>
    <xf numFmtId="0" fontId="39" fillId="30" borderId="0" xfId="0" applyFont="1" applyFill="1" applyBorder="1" applyAlignment="1">
      <alignment horizontal="left" vertical="center" wrapText="1"/>
    </xf>
    <xf numFmtId="0" fontId="16" fillId="19" borderId="3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/>
    </xf>
    <xf numFmtId="0" fontId="26" fillId="30" borderId="3" xfId="0" applyFont="1" applyFill="1" applyBorder="1" applyAlignment="1">
      <alignment horizontal="center" vertical="center"/>
    </xf>
    <xf numFmtId="0" fontId="26" fillId="30" borderId="3" xfId="0" applyFont="1" applyFill="1" applyBorder="1" applyAlignment="1">
      <alignment horizontal="center" vertical="center" wrapText="1"/>
    </xf>
    <xf numFmtId="176" fontId="26" fillId="30" borderId="3" xfId="0" applyNumberFormat="1" applyFont="1" applyFill="1" applyBorder="1" applyAlignment="1">
      <alignment horizontal="center" vertical="center"/>
    </xf>
    <xf numFmtId="1" fontId="26" fillId="30" borderId="3" xfId="0" applyNumberFormat="1" applyFont="1" applyFill="1" applyBorder="1" applyAlignment="1">
      <alignment horizontal="center" vertical="center"/>
    </xf>
    <xf numFmtId="1" fontId="26" fillId="10" borderId="3" xfId="0" applyNumberFormat="1" applyFont="1" applyFill="1" applyBorder="1" applyAlignment="1">
      <alignment horizontal="center" vertical="center"/>
    </xf>
    <xf numFmtId="0" fontId="40" fillId="31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center" vertical="center"/>
    </xf>
    <xf numFmtId="0" fontId="42" fillId="9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43" fillId="2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horizontal="center" vertical="center"/>
    </xf>
    <xf numFmtId="0" fontId="43" fillId="21" borderId="0" xfId="0" applyFont="1" applyFill="1" applyBorder="1" applyAlignment="1">
      <alignment horizontal="center" vertical="center"/>
    </xf>
    <xf numFmtId="0" fontId="43" fillId="5" borderId="0" xfId="0" applyFont="1" applyFill="1" applyBorder="1" applyAlignment="1">
      <alignment horizontal="center" vertical="center"/>
    </xf>
    <xf numFmtId="0" fontId="43" fillId="18" borderId="0" xfId="0" applyFont="1" applyFill="1" applyBorder="1" applyAlignment="1">
      <alignment horizontal="center" vertical="center"/>
    </xf>
    <xf numFmtId="0" fontId="22" fillId="21" borderId="0" xfId="0" applyFont="1" applyFill="1" applyBorder="1" applyAlignment="1">
      <alignment horizontal="center" vertical="center" wrapText="1"/>
    </xf>
    <xf numFmtId="1" fontId="44" fillId="2" borderId="0" xfId="0" applyNumberFormat="1" applyFont="1" applyFill="1" applyBorder="1" applyAlignment="1">
      <alignment horizontal="center" vertical="center"/>
    </xf>
    <xf numFmtId="176" fontId="44" fillId="6" borderId="0" xfId="0" applyNumberFormat="1" applyFont="1" applyFill="1" applyBorder="1" applyAlignment="1">
      <alignment horizontal="center" vertical="center"/>
    </xf>
    <xf numFmtId="1" fontId="44" fillId="21" borderId="0" xfId="0" applyNumberFormat="1" applyFont="1" applyFill="1" applyBorder="1" applyAlignment="1">
      <alignment horizontal="center" vertical="center"/>
    </xf>
    <xf numFmtId="1" fontId="44" fillId="5" borderId="0" xfId="0" applyNumberFormat="1" applyFont="1" applyFill="1" applyBorder="1" applyAlignment="1">
      <alignment horizontal="center" vertical="center"/>
    </xf>
    <xf numFmtId="1" fontId="44" fillId="18" borderId="0" xfId="0" applyNumberFormat="1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 wrapText="1"/>
    </xf>
    <xf numFmtId="176" fontId="26" fillId="10" borderId="1" xfId="0" applyNumberFormat="1" applyFont="1" applyFill="1" applyBorder="1" applyAlignment="1">
      <alignment horizontal="center" vertical="center"/>
    </xf>
    <xf numFmtId="182" fontId="26" fillId="10" borderId="1" xfId="0" applyNumberFormat="1" applyFont="1" applyFill="1" applyBorder="1" applyAlignment="1">
      <alignment horizontal="center" vertical="center"/>
    </xf>
    <xf numFmtId="1" fontId="26" fillId="10" borderId="1" xfId="0" applyNumberFormat="1" applyFont="1" applyFill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 wrapText="1"/>
    </xf>
    <xf numFmtId="176" fontId="26" fillId="20" borderId="1" xfId="0" applyNumberFormat="1" applyFont="1" applyFill="1" applyBorder="1" applyAlignment="1">
      <alignment horizontal="center" vertical="center"/>
    </xf>
    <xf numFmtId="182" fontId="26" fillId="20" borderId="1" xfId="0" applyNumberFormat="1" applyFont="1" applyFill="1" applyBorder="1" applyAlignment="1">
      <alignment horizontal="center" vertical="center"/>
    </xf>
    <xf numFmtId="1" fontId="26" fillId="2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2" borderId="6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left" vertical="center" wrapText="1"/>
    </xf>
    <xf numFmtId="58" fontId="11" fillId="20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8" fontId="11" fillId="20" borderId="1" xfId="0" applyNumberFormat="1" applyFont="1" applyFill="1" applyBorder="1" applyAlignment="1">
      <alignment horizontal="center" vertical="center"/>
    </xf>
    <xf numFmtId="183" fontId="11" fillId="20" borderId="1" xfId="0" applyNumberFormat="1" applyFont="1" applyFill="1" applyBorder="1" applyAlignment="1">
      <alignment horizontal="center" vertical="center"/>
    </xf>
    <xf numFmtId="1" fontId="11" fillId="20" borderId="1" xfId="0" applyNumberFormat="1" applyFont="1" applyFill="1" applyBorder="1" applyAlignment="1">
      <alignment horizontal="center" vertical="center"/>
    </xf>
    <xf numFmtId="0" fontId="48" fillId="20" borderId="1" xfId="6" applyFont="1" applyFill="1" applyBorder="1" applyAlignment="1">
      <alignment horizontal="left" vertical="center"/>
    </xf>
    <xf numFmtId="1" fontId="11" fillId="10" borderId="1" xfId="0" applyNumberFormat="1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58" fontId="49" fillId="20" borderId="1" xfId="0" applyNumberFormat="1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left" vertical="center"/>
    </xf>
    <xf numFmtId="0" fontId="49" fillId="20" borderId="1" xfId="0" applyFont="1" applyFill="1" applyBorder="1" applyAlignment="1">
      <alignment horizontal="left" vertical="center"/>
    </xf>
    <xf numFmtId="0" fontId="0" fillId="0" borderId="0" xfId="0" applyFill="1"/>
    <xf numFmtId="2" fontId="0" fillId="0" borderId="0" xfId="0" applyNumberFormat="1" applyAlignment="1"/>
    <xf numFmtId="0" fontId="0" fillId="0" borderId="0" xfId="0" applyFill="1" applyAlignment="1"/>
    <xf numFmtId="58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83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0" fontId="49" fillId="20" borderId="1" xfId="0" applyFont="1" applyFill="1" applyBorder="1" applyAlignment="1">
      <alignment horizontal="center" vertical="center"/>
    </xf>
    <xf numFmtId="0" fontId="51" fillId="20" borderId="1" xfId="0" applyFont="1" applyFill="1" applyBorder="1" applyAlignment="1">
      <alignment horizontal="center" vertical="center"/>
    </xf>
    <xf numFmtId="0" fontId="52" fillId="20" borderId="1" xfId="6" applyFill="1" applyBorder="1" applyAlignment="1">
      <alignment horizontal="left" vertical="center"/>
    </xf>
    <xf numFmtId="0" fontId="48" fillId="10" borderId="1" xfId="6" applyFont="1" applyFill="1" applyBorder="1" applyAlignment="1">
      <alignment horizontal="left" vertical="center"/>
    </xf>
    <xf numFmtId="0" fontId="51" fillId="10" borderId="1" xfId="0" applyFont="1" applyFill="1" applyBorder="1" applyAlignment="1">
      <alignment horizontal="center" vertical="center"/>
    </xf>
    <xf numFmtId="58" fontId="51" fillId="10" borderId="1" xfId="0" applyNumberFormat="1" applyFont="1" applyFill="1" applyBorder="1" applyAlignment="1">
      <alignment horizontal="center" vertical="center"/>
    </xf>
    <xf numFmtId="0" fontId="52" fillId="10" borderId="1" xfId="6" applyFill="1" applyBorder="1" applyAlignment="1">
      <alignment horizontal="left" vertical="center"/>
    </xf>
    <xf numFmtId="0" fontId="53" fillId="20" borderId="1" xfId="0" applyFont="1" applyFill="1" applyBorder="1" applyAlignment="1">
      <alignment horizontal="center" vertical="center"/>
    </xf>
    <xf numFmtId="1" fontId="0" fillId="0" borderId="0" xfId="0" applyNumberFormat="1" applyAlignment="1"/>
    <xf numFmtId="0" fontId="54" fillId="2" borderId="0" xfId="0" applyFont="1" applyFill="1" applyBorder="1" applyAlignment="1">
      <alignment horizontal="center" vertical="center"/>
    </xf>
    <xf numFmtId="0" fontId="55" fillId="16" borderId="0" xfId="0" applyFont="1" applyFill="1" applyBorder="1" applyAlignment="1">
      <alignment horizontal="center" vertical="center"/>
    </xf>
    <xf numFmtId="184" fontId="56" fillId="3" borderId="0" xfId="0" applyNumberFormat="1" applyFont="1" applyFill="1" applyBorder="1" applyAlignment="1">
      <alignment horizontal="right" vertical="center"/>
    </xf>
    <xf numFmtId="0" fontId="57" fillId="2" borderId="0" xfId="0" applyFont="1" applyFill="1" applyBorder="1" applyAlignment="1">
      <alignment horizontal="center" vertical="center"/>
    </xf>
    <xf numFmtId="0" fontId="57" fillId="4" borderId="0" xfId="0" applyFont="1" applyFill="1" applyBorder="1" applyAlignment="1">
      <alignment horizontal="center" vertical="center"/>
    </xf>
    <xf numFmtId="0" fontId="57" fillId="5" borderId="0" xfId="0" applyFont="1" applyFill="1" applyBorder="1" applyAlignment="1">
      <alignment horizontal="center" vertical="center"/>
    </xf>
    <xf numFmtId="0" fontId="57" fillId="7" borderId="0" xfId="0" applyFont="1" applyFill="1" applyBorder="1" applyAlignment="1">
      <alignment horizontal="center" vertical="center"/>
    </xf>
    <xf numFmtId="0" fontId="57" fillId="18" borderId="0" xfId="0" applyFont="1" applyFill="1" applyBorder="1" applyAlignment="1">
      <alignment horizontal="center" vertical="center"/>
    </xf>
    <xf numFmtId="0" fontId="57" fillId="8" borderId="0" xfId="0" applyFont="1" applyFill="1" applyBorder="1" applyAlignment="1">
      <alignment horizontal="center" vertical="center"/>
    </xf>
    <xf numFmtId="0" fontId="58" fillId="32" borderId="0" xfId="0" applyFont="1" applyFill="1" applyAlignment="1">
      <alignment horizontal="center" vertical="center"/>
    </xf>
    <xf numFmtId="0" fontId="0" fillId="33" borderId="0" xfId="0" applyFill="1"/>
    <xf numFmtId="0" fontId="59" fillId="2" borderId="0" xfId="0" applyFont="1" applyFill="1" applyBorder="1" applyAlignment="1">
      <alignment horizontal="center" vertical="center" wrapText="1"/>
    </xf>
    <xf numFmtId="0" fontId="59" fillId="4" borderId="0" xfId="0" applyFont="1" applyFill="1" applyBorder="1" applyAlignment="1">
      <alignment horizontal="center" vertical="center" wrapText="1"/>
    </xf>
    <xf numFmtId="0" fontId="59" fillId="5" borderId="0" xfId="0" applyFont="1" applyFill="1" applyBorder="1" applyAlignment="1">
      <alignment horizontal="center" vertical="center" wrapText="1"/>
    </xf>
    <xf numFmtId="0" fontId="59" fillId="7" borderId="0" xfId="0" applyFont="1" applyFill="1" applyBorder="1" applyAlignment="1">
      <alignment horizontal="center" vertical="center" wrapText="1"/>
    </xf>
    <xf numFmtId="0" fontId="59" fillId="18" borderId="0" xfId="0" applyFont="1" applyFill="1" applyBorder="1" applyAlignment="1">
      <alignment horizontal="center" vertical="center" wrapText="1"/>
    </xf>
    <xf numFmtId="0" fontId="59" fillId="8" borderId="0" xfId="0" applyFont="1" applyFill="1" applyBorder="1" applyAlignment="1">
      <alignment horizontal="center" vertical="center" wrapText="1"/>
    </xf>
    <xf numFmtId="0" fontId="60" fillId="32" borderId="0" xfId="0" applyFont="1" applyFill="1" applyBorder="1" applyAlignment="1">
      <alignment horizontal="center" vertical="center" wrapText="1"/>
    </xf>
    <xf numFmtId="0" fontId="54" fillId="4" borderId="0" xfId="0" applyFont="1" applyFill="1" applyBorder="1" applyAlignment="1">
      <alignment horizontal="center" vertical="center"/>
    </xf>
    <xf numFmtId="0" fontId="54" fillId="5" borderId="0" xfId="0" applyFont="1" applyFill="1" applyBorder="1" applyAlignment="1">
      <alignment horizontal="center" vertical="center"/>
    </xf>
    <xf numFmtId="176" fontId="54" fillId="7" borderId="0" xfId="0" applyNumberFormat="1" applyFont="1" applyFill="1" applyBorder="1" applyAlignment="1">
      <alignment horizontal="center" vertical="center"/>
    </xf>
    <xf numFmtId="0" fontId="54" fillId="18" borderId="0" xfId="0" applyFont="1" applyFill="1" applyBorder="1" applyAlignment="1">
      <alignment horizontal="center" vertical="center"/>
    </xf>
    <xf numFmtId="0" fontId="54" fillId="8" borderId="0" xfId="0" applyFont="1" applyFill="1" applyBorder="1" applyAlignment="1">
      <alignment horizontal="center" vertical="center"/>
    </xf>
    <xf numFmtId="0" fontId="61" fillId="32" borderId="0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0" fillId="4" borderId="0" xfId="0" applyFill="1" applyBorder="1" applyAlignment="1"/>
    <xf numFmtId="0" fontId="0" fillId="5" borderId="0" xfId="0" applyFill="1" applyBorder="1" applyAlignment="1"/>
    <xf numFmtId="0" fontId="0" fillId="7" borderId="0" xfId="0" applyFill="1" applyBorder="1" applyAlignment="1"/>
    <xf numFmtId="0" fontId="0" fillId="18" borderId="0" xfId="0" applyFill="1" applyBorder="1" applyAlignment="1"/>
    <xf numFmtId="0" fontId="0" fillId="8" borderId="0" xfId="0" applyFill="1" applyBorder="1" applyAlignment="1"/>
    <xf numFmtId="0" fontId="0" fillId="32" borderId="0" xfId="0" applyFill="1" applyBorder="1" applyAlignment="1"/>
    <xf numFmtId="0" fontId="57" fillId="34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 vertical="center"/>
    </xf>
    <xf numFmtId="0" fontId="57" fillId="18" borderId="0" xfId="0" applyFont="1" applyFill="1" applyAlignment="1">
      <alignment horizontal="center" vertical="center"/>
    </xf>
    <xf numFmtId="0" fontId="57" fillId="8" borderId="0" xfId="0" applyFont="1" applyFill="1" applyAlignment="1">
      <alignment horizontal="center" vertical="center"/>
    </xf>
    <xf numFmtId="0" fontId="57" fillId="35" borderId="0" xfId="0" applyFont="1" applyFill="1" applyAlignment="1">
      <alignment horizontal="center" vertical="center"/>
    </xf>
    <xf numFmtId="0" fontId="57" fillId="7" borderId="0" xfId="0" applyFont="1" applyFill="1" applyAlignment="1">
      <alignment horizontal="center" vertical="center"/>
    </xf>
    <xf numFmtId="0" fontId="59" fillId="34" borderId="0" xfId="0" applyFont="1" applyFill="1" applyBorder="1" applyAlignment="1">
      <alignment horizontal="center" vertical="center" wrapText="1"/>
    </xf>
    <xf numFmtId="0" fontId="59" fillId="6" borderId="0" xfId="0" applyFont="1" applyFill="1" applyBorder="1" applyAlignment="1">
      <alignment horizontal="center" vertical="center" wrapText="1"/>
    </xf>
    <xf numFmtId="0" fontId="59" fillId="35" borderId="0" xfId="0" applyFont="1" applyFill="1" applyBorder="1" applyAlignment="1">
      <alignment horizontal="center" vertical="center" wrapText="1"/>
    </xf>
    <xf numFmtId="0" fontId="54" fillId="34" borderId="0" xfId="0" applyFont="1" applyFill="1" applyBorder="1" applyAlignment="1">
      <alignment horizontal="center" vertical="center"/>
    </xf>
    <xf numFmtId="0" fontId="54" fillId="6" borderId="0" xfId="0" applyFont="1" applyFill="1" applyBorder="1" applyAlignment="1">
      <alignment horizontal="center" vertical="center"/>
    </xf>
    <xf numFmtId="0" fontId="54" fillId="35" borderId="0" xfId="0" applyFont="1" applyFill="1" applyBorder="1" applyAlignment="1">
      <alignment horizontal="center" vertical="center"/>
    </xf>
    <xf numFmtId="179" fontId="54" fillId="7" borderId="0" xfId="0" applyNumberFormat="1" applyFont="1" applyFill="1" applyBorder="1" applyAlignment="1">
      <alignment horizontal="center" vertical="center"/>
    </xf>
    <xf numFmtId="0" fontId="0" fillId="34" borderId="0" xfId="0" applyFill="1" applyBorder="1" applyAlignment="1"/>
    <xf numFmtId="0" fontId="0" fillId="6" borderId="0" xfId="0" applyFill="1" applyBorder="1" applyAlignment="1"/>
    <xf numFmtId="0" fontId="0" fillId="35" borderId="0" xfId="0" applyFill="1" applyBorder="1" applyAlignment="1"/>
    <xf numFmtId="0" fontId="20" fillId="8" borderId="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56" fillId="30" borderId="1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62" fillId="9" borderId="8" xfId="0" applyFont="1" applyFill="1" applyBorder="1" applyAlignment="1">
      <alignment horizontal="center" vertical="center" wrapText="1"/>
    </xf>
    <xf numFmtId="0" fontId="17" fillId="14" borderId="8" xfId="0" applyFont="1" applyFill="1" applyBorder="1" applyAlignment="1">
      <alignment horizontal="center" vertical="center" wrapText="1"/>
    </xf>
    <xf numFmtId="0" fontId="63" fillId="36" borderId="8" xfId="0" applyFont="1" applyFill="1" applyBorder="1" applyAlignment="1">
      <alignment horizontal="center" vertical="center" wrapText="1"/>
    </xf>
    <xf numFmtId="0" fontId="64" fillId="12" borderId="8" xfId="0" applyFont="1" applyFill="1" applyBorder="1" applyAlignment="1">
      <alignment horizontal="center" vertical="center" wrapText="1"/>
    </xf>
    <xf numFmtId="0" fontId="65" fillId="37" borderId="8" xfId="0" applyFont="1" applyFill="1" applyBorder="1" applyAlignment="1">
      <alignment horizontal="center" vertical="center" wrapText="1"/>
    </xf>
    <xf numFmtId="0" fontId="66" fillId="38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2">
    <dxf>
      <font>
        <name val="Arial"/>
        <scheme val="none"/>
        <charset val="1"/>
        <i val="1"/>
        <strike val="0"/>
        <sz val="9"/>
        <color rgb="FFAAAAAA"/>
      </font>
      <fill>
        <patternFill patternType="solid">
          <bgColor rgb="FF1C1C1C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D4A017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0D9488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0891B2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7C3AED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B91C1C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E60000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1C1C1C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EA580C"/>
        </patternFill>
      </fill>
    </dxf>
    <dxf>
      <font>
        <name val="Arial"/>
        <scheme val="none"/>
        <charset val="1"/>
        <strike val="0"/>
        <sz val="9"/>
        <color rgb="FF111111"/>
      </font>
      <fill>
        <patternFill patternType="solid">
          <bgColor rgb="FFCA8A04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16A34A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1C1C1C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B91C1C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2563EB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059669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4F46E5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D97706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6B7280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475569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16A34A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991B1B"/>
        </patternFill>
      </fill>
    </dxf>
    <dxf>
      <font>
        <name val="Arial"/>
        <scheme val="none"/>
        <charset val="1"/>
        <b val="1"/>
        <sz val="9"/>
        <color rgb="FFFFFFFF"/>
      </font>
      <fill>
        <patternFill patternType="solid">
          <bgColor rgb="FFD4A017"/>
        </patternFill>
      </fill>
    </dxf>
    <dxf>
      <font>
        <name val="Arial"/>
        <scheme val="none"/>
        <charset val="1"/>
        <sz val="9"/>
        <color rgb="FFFFFFFF"/>
      </font>
      <fill>
        <patternFill patternType="solid">
          <bgColor rgb="FF0D9488"/>
        </patternFill>
      </fill>
    </dxf>
    <dxf>
      <font>
        <name val="Arial"/>
        <scheme val="none"/>
        <charset val="1"/>
        <sz val="9"/>
        <color rgb="FFFFFFFF"/>
      </font>
      <fill>
        <patternFill patternType="solid">
          <bgColor rgb="FF0891B2"/>
        </patternFill>
      </fill>
    </dxf>
    <dxf>
      <font>
        <name val="Arial"/>
        <scheme val="none"/>
        <charset val="1"/>
        <sz val="9"/>
        <color rgb="FFFFFFFF"/>
      </font>
      <fill>
        <patternFill patternType="solid">
          <bgColor rgb="FFB91C1C"/>
        </patternFill>
      </fill>
    </dxf>
    <dxf>
      <font>
        <name val="Arial"/>
        <scheme val="none"/>
        <charset val="1"/>
        <sz val="9"/>
        <color rgb="FF888888"/>
      </font>
      <fill>
        <patternFill patternType="solid">
          <bgColor rgb="FF1C1C1C"/>
        </patternFill>
      </fill>
    </dxf>
    <dxf>
      <font>
        <name val="Arial"/>
        <scheme val="none"/>
        <charset val="1"/>
        <sz val="9"/>
        <color rgb="FFFFFFFF"/>
      </font>
      <fill>
        <patternFill patternType="solid">
          <bgColor rgb="FF7C3AED"/>
        </patternFill>
      </fill>
    </dxf>
    <dxf>
      <font>
        <name val="Arial"/>
        <scheme val="none"/>
        <charset val="1"/>
        <i val="1"/>
        <strike val="0"/>
        <sz val="9"/>
        <color rgb="FFAAAAAA"/>
      </font>
      <fill>
        <patternFill patternType="solid">
          <bgColor rgb="FF111111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111111"/>
        </patternFill>
      </fill>
    </dxf>
    <dxf>
      <font>
        <name val="Arial"/>
        <scheme val="none"/>
        <charset val="1"/>
        <b val="1"/>
        <strike val="0"/>
        <sz val="9"/>
        <color rgb="FFFFFFFF"/>
      </font>
      <fill>
        <patternFill patternType="solid">
          <bgColor rgb="FFFF6600"/>
        </patternFill>
      </fill>
    </dxf>
    <dxf>
      <font>
        <name val="Arial"/>
        <scheme val="none"/>
        <charset val="1"/>
        <strike val="0"/>
        <sz val="9"/>
        <color rgb="FF1A1A1A"/>
      </font>
      <fill>
        <patternFill patternType="solid">
          <bgColor rgb="FFFFD700"/>
        </patternFill>
      </fill>
    </dxf>
    <dxf>
      <font>
        <name val="Arial"/>
        <scheme val="none"/>
        <charset val="1"/>
        <strike val="0"/>
        <sz val="9"/>
        <color rgb="FFFFFFFF"/>
      </font>
      <fill>
        <patternFill patternType="solid">
          <bgColor rgb="FF00A550"/>
        </patternFill>
      </fill>
    </dxf>
    <dxf>
      <font>
        <name val="Arial"/>
        <scheme val="none"/>
        <charset val="1"/>
        <b val="1"/>
        <sz val="9"/>
        <color rgb="FF16A34A"/>
      </font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9C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PivotStylePreset2_Accent1" table="0" count="10" xr9:uid="{267968C8-6FFD-4C36-ACC1-9EA1FD1885CA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60000"/>
      <rgbColor rgb="0000A550"/>
      <rgbColor rgb="00FFF7F7"/>
      <rgbColor rgb="00CA8A04"/>
      <rgbColor rgb="007C3AED"/>
      <rgbColor rgb="000D9488"/>
      <rgbColor rgb="00CCCCCC"/>
      <rgbColor rgb="00687484"/>
      <rgbColor rgb="00A7A6B1"/>
      <rgbColor rgb="00B91C1C"/>
      <rgbColor rgb="00FEF9C3"/>
      <rgbColor rgb="00CCFBF1"/>
      <rgbColor rgb="00475569"/>
      <rgbColor rgb="00F69445"/>
      <rgbColor rgb="000369A1"/>
      <rgbColor rgb="00D1D5DB"/>
      <rgbColor rgb="00FFFBEB"/>
      <rgbColor rgb="00FFF1F2"/>
      <rgbColor rgb="00D4A017"/>
      <rgbColor rgb="00F0FDFA"/>
      <rgbColor rgb="004F46E5"/>
      <rgbColor rgb="00EA580C"/>
      <rgbColor rgb="00059669"/>
      <rgbColor rgb="00F8FAFC"/>
      <rgbColor rgb="00F1F5F9"/>
      <rgbColor rgb="00DCFCE7"/>
      <rgbColor rgb="00DBEAFE"/>
      <rgbColor rgb="00FFEDD5"/>
      <rgbColor rgb="00A9D6FE"/>
      <rgbColor rgb="00B0B0B0"/>
      <rgbColor rgb="00B3B3B3"/>
      <rgbColor rgb="00FEE2E2"/>
      <rgbColor rgb="002563EB"/>
      <rgbColor rgb="000891B2"/>
      <rgbColor rgb="0091CE50"/>
      <rgbColor rgb="00FFD700"/>
      <rgbColor rgb="00F59E0B"/>
      <rgbColor rgb="00FF6600"/>
      <rgbColor rgb="006B7181"/>
      <rgbColor rgb="00919696"/>
      <rgbColor rgb="001B3A6B"/>
      <rgbColor rgb="0016A34A"/>
      <rgbColor rgb="00111111"/>
      <rgbColor rgb="001C1C1C"/>
      <rgbColor rgb="00921E16"/>
      <rgbColor rgb="00DC2626"/>
      <rgbColor rgb="00243B6E"/>
      <rgbColor rgb="00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2AE2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Opportunities by Category</a:t>
            </a:r>
            <a:endParaRPr lang="en-US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1B3A6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ChartData!$A$2:$A$7</c:f>
              <c:strCache>
                <c:ptCount val="6"/>
                <c:pt idx="0">
                  <c:v>Office Supplies</c:v>
                </c:pt>
                <c:pt idx="1">
                  <c:v>Tokens and Awards</c:v>
                </c:pt>
                <c:pt idx="2">
                  <c:v>IT Equipment</c:v>
                </c:pt>
                <c:pt idx="3">
                  <c:v>General Merchandise</c:v>
                </c:pt>
                <c:pt idx="4">
                  <c:v>Food Stuff</c:v>
                </c:pt>
              </c:strCache>
            </c:strRef>
          </c:cat>
          <c:val>
            <c:numRef>
              <c:f>ChartData!$B$2:$B$7</c:f>
              <c:numCache>
                <c:formatCode>General</c:formatCode>
                <c:ptCount val="6"/>
                <c:pt idx="0">
                  <c:v>8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74901971"/>
        <c:axId val="89970515"/>
      </c:barChart>
      <c:catAx>
        <c:axId val="7490197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Category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9970515"/>
        <c:crosses val="autoZero"/>
        <c:auto val="1"/>
        <c:lblAlgn val="ctr"/>
        <c:lblOffset val="100"/>
        <c:noMultiLvlLbl val="0"/>
      </c:catAx>
      <c:valAx>
        <c:axId val="89970515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Count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49019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1f6fb1e-e5c6-4a8c-a79f-6be14cd6c55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Bid Status Distribution</a:t>
            </a:r>
            <a:endParaRPr lang="en-US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ChartData!$B$12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bubble3D val="0"/>
            <c:spPr>
              <a:solidFill>
                <a:srgbClr val="4672A8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bubble3D val="0"/>
            <c:spPr>
              <a:solidFill>
                <a:srgbClr val="B8CD97"/>
              </a:solidFill>
              <a:ln w="0">
                <a:solidFill>
                  <a:srgbClr val="000000"/>
                </a:solidFill>
              </a:ln>
            </c:spPr>
          </c:dPt>
          <c:dPt>
            <c:idx val="9"/>
            <c:bubble3D val="0"/>
            <c:spPr>
              <a:solidFill>
                <a:srgbClr val="A99BBD"/>
              </a:solidFill>
              <a:ln w="0">
                <a:solidFill>
                  <a:srgbClr val="000000"/>
                </a:solidFill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ChartData!$A$13:$A$22</c:f>
              <c:strCache>
                <c:ptCount val="10"/>
                <c:pt idx="0">
                  <c:v>New</c:v>
                </c:pt>
                <c:pt idx="1">
                  <c:v>For Review</c:v>
                </c:pt>
                <c:pt idx="2">
                  <c:v>Interested</c:v>
                </c:pt>
                <c:pt idx="3">
                  <c:v>Preparing Documents</c:v>
                </c:pt>
                <c:pt idx="4">
                  <c:v>Submitting</c:v>
                </c:pt>
                <c:pt idx="5">
                  <c:v>Submitted</c:v>
                </c:pt>
                <c:pt idx="6">
                  <c:v>Under Evaluation</c:v>
                </c:pt>
                <c:pt idx="7">
                  <c:v>Awarded</c:v>
                </c:pt>
                <c:pt idx="8">
                  <c:v>Lost</c:v>
                </c:pt>
                <c:pt idx="9">
                  <c:v>Cancelled</c:v>
                </c:pt>
              </c:strCache>
            </c:strRef>
          </c:cat>
          <c:val>
            <c:numRef>
              <c:f>ChartData!$B$13:$B$22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fb8505-c33e-48a1-b595-512b99fca81d}"/>
      </c:ext>
    </c:extLst>
  </c:chart>
  <c:spPr>
    <a:gradFill>
      <a:gsLst>
        <a:gs pos="0">
          <a:srgbClr val="F6F9FC"/>
        </a:gs>
        <a:gs pos="74000">
          <a:srgbClr val="B0C6E1"/>
        </a:gs>
        <a:gs pos="83000">
          <a:srgbClr val="B0C6E1"/>
        </a:gs>
        <a:gs pos="100000">
          <a:srgbClr val="CAD9EB"/>
        </a:gs>
      </a:gsLst>
      <a:lin ang="3000000"/>
    </a:gra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Monthly Opportunity Trend (2026)</a:t>
            </a:r>
            <a:endParaRPr lang="en-US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ChartData!$B$42</c:f>
              <c:strCache>
                <c:ptCount val="1"/>
                <c:pt idx="0">
                  <c:v>COUNT</c:v>
                </c:pt>
              </c:strCache>
            </c:strRef>
          </c:tx>
          <c:spPr>
            <a:ln w="20160" cap="rnd" cmpd="sng" algn="ctr">
              <a:solidFill>
                <a:srgbClr val="0D94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ChartData!$A$43:$A$55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ChartData!$B$43:$B$55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59060878"/>
        <c:axId val="29058319"/>
      </c:lineChart>
      <c:catAx>
        <c:axId val="5906087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9058319"/>
        <c:crosses val="autoZero"/>
        <c:auto val="1"/>
        <c:lblAlgn val="ctr"/>
        <c:lblOffset val="100"/>
        <c:noMultiLvlLbl val="0"/>
      </c:catAx>
      <c:valAx>
        <c:axId val="2905831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No. of Bids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9060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44c032-a2e4-482f-ad82-9602896516e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ABC Value by Category (₱)</a:t>
            </a:r>
            <a:endParaRPr lang="en-US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ChartData!$C$1</c:f>
              <c:strCache>
                <c:ptCount val="1"/>
                <c:pt idx="0">
                  <c:v>ABC_VALUE</c:v>
                </c:pt>
              </c:strCache>
            </c:strRef>
          </c:tx>
          <c:spPr>
            <a:solidFill>
              <a:srgbClr val="F59E0B"/>
            </a:solidFill>
            <a:ln w="9360">
              <a:solidFill>
                <a:srgbClr val="D9770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ChartData!$A$2:$A$7</c:f>
              <c:strCache>
                <c:ptCount val="6"/>
                <c:pt idx="0">
                  <c:v>Office Supplies</c:v>
                </c:pt>
                <c:pt idx="1">
                  <c:v>Tokens and Awards</c:v>
                </c:pt>
                <c:pt idx="2">
                  <c:v>IT Equipment</c:v>
                </c:pt>
                <c:pt idx="3">
                  <c:v>General Merchandise</c:v>
                </c:pt>
                <c:pt idx="4">
                  <c:v>Food Stuff</c:v>
                </c:pt>
              </c:strCache>
            </c:strRef>
          </c:cat>
          <c:val>
            <c:numRef>
              <c:f>ChartData!$C$2:$C$7</c:f>
              <c:numCache>
                <c:formatCode>"₱"#,##0</c:formatCode>
                <c:ptCount val="6"/>
                <c:pt idx="0">
                  <c:v>8968965.61</c:v>
                </c:pt>
                <c:pt idx="1">
                  <c:v>330240</c:v>
                </c:pt>
                <c:pt idx="2">
                  <c:v>4190951.38</c:v>
                </c:pt>
                <c:pt idx="3">
                  <c:v>1396404</c:v>
                </c:pt>
                <c:pt idx="4">
                  <c:v>82028230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1662447"/>
        <c:axId val="39181412"/>
      </c:barChart>
      <c:catAx>
        <c:axId val="1662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9181412"/>
        <c:crosses val="autoZero"/>
        <c:auto val="1"/>
        <c:lblAlgn val="ctr"/>
        <c:lblOffset val="100"/>
        <c:noMultiLvlLbl val="0"/>
      </c:catAx>
      <c:valAx>
        <c:axId val="39181412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ABC Value (₱)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₱&quot;#,##0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662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d6a7af9f-c257-48a3-9613-75090f92e1b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Bids by Priority Level</a:t>
            </a:r>
            <a:endParaRPr lang="en-US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C262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ChartData!$A$25:$A$28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ChartData!$B$25:$B$28</c:f>
              <c:numCache>
                <c:formatCode>General</c:formatCode>
                <c:ptCount val="4"/>
                <c:pt idx="0">
                  <c:v>25</c:v>
                </c:pt>
                <c:pt idx="1">
                  <c:v>0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32158814"/>
        <c:axId val="6602114"/>
      </c:barChart>
      <c:catAx>
        <c:axId val="3215881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602114"/>
        <c:crosses val="autoZero"/>
        <c:auto val="1"/>
        <c:lblAlgn val="ctr"/>
        <c:lblOffset val="100"/>
        <c:noMultiLvlLbl val="0"/>
      </c:catAx>
      <c:valAx>
        <c:axId val="6602114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2158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0d7525a9-7979-4114-be8f-96cd8fe779f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ABC Value by Region (₱)</a:t>
            </a:r>
            <a:endParaRPr lang="en-US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ChartData!$C$30</c:f>
              <c:strCache>
                <c:ptCount val="1"/>
                <c:pt idx="0">
                  <c:v>ABC_VALUE</c:v>
                </c:pt>
              </c:strCache>
            </c:strRef>
          </c:tx>
          <c:spPr>
            <a:solidFill>
              <a:srgbClr val="7C3AE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ChartData!$A$31:$A$41</c:f>
              <c:strCache>
                <c:ptCount val="11"/>
                <c:pt idx="0">
                  <c:v>CARAGA</c:v>
                </c:pt>
                <c:pt idx="1">
                  <c:v>NCR</c:v>
                </c:pt>
                <c:pt idx="2">
                  <c:v>Region I</c:v>
                </c:pt>
                <c:pt idx="3">
                  <c:v>Region II</c:v>
                </c:pt>
                <c:pt idx="4">
                  <c:v>Region III</c:v>
                </c:pt>
                <c:pt idx="5">
                  <c:v>Region IV-A</c:v>
                </c:pt>
                <c:pt idx="6">
                  <c:v>Region V</c:v>
                </c:pt>
                <c:pt idx="7">
                  <c:v>Region VI</c:v>
                </c:pt>
                <c:pt idx="8">
                  <c:v>Region VII</c:v>
                </c:pt>
                <c:pt idx="9">
                  <c:v>Region X</c:v>
                </c:pt>
              </c:strCache>
            </c:strRef>
          </c:cat>
          <c:val>
            <c:numRef>
              <c:f>ChartData!$C$31:$C$41</c:f>
              <c:numCache>
                <c:formatCode>"₱"#,##0</c:formatCode>
                <c:ptCount val="11"/>
                <c:pt idx="0">
                  <c:v>108509550.99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821336"/>
        <c:axId val="48858983"/>
      </c:barChart>
      <c:catAx>
        <c:axId val="821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8858983"/>
        <c:crosses val="autoZero"/>
        <c:auto val="1"/>
        <c:lblAlgn val="ctr"/>
        <c:lblOffset val="100"/>
        <c:noMultiLvlLbl val="0"/>
      </c:catAx>
      <c:valAx>
        <c:axId val="4885898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Total ABC (₱)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₱&quot;#,##0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213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2fd6b97-3ffa-44b2-ae6e-fc14987d2c2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7</xdr:col>
      <xdr:colOff>104760</xdr:colOff>
      <xdr:row>44</xdr:row>
      <xdr:rowOff>360</xdr:rowOff>
    </xdr:to>
    <xdr:graphicFrame>
      <xdr:nvGraphicFramePr>
        <xdr:cNvPr id="2" name="Chart 1"/>
        <xdr:cNvGraphicFramePr/>
      </xdr:nvGraphicFramePr>
      <xdr:xfrm>
        <a:off x="0" y="6829425"/>
        <a:ext cx="4771390" cy="3390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132840</xdr:colOff>
      <xdr:row>26</xdr:row>
      <xdr:rowOff>351000</xdr:rowOff>
    </xdr:from>
    <xdr:to>
      <xdr:col>17</xdr:col>
      <xdr:colOff>248760</xdr:colOff>
      <xdr:row>43</xdr:row>
      <xdr:rowOff>199080</xdr:rowOff>
    </xdr:to>
    <xdr:graphicFrame>
      <xdr:nvGraphicFramePr>
        <xdr:cNvPr id="3" name="Chart 2"/>
        <xdr:cNvGraphicFramePr/>
      </xdr:nvGraphicFramePr>
      <xdr:xfrm>
        <a:off x="4799965" y="6827520"/>
        <a:ext cx="6783070" cy="3391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7</xdr:col>
      <xdr:colOff>104760</xdr:colOff>
      <xdr:row>60</xdr:row>
      <xdr:rowOff>199080</xdr:rowOff>
    </xdr:to>
    <xdr:graphicFrame>
      <xdr:nvGraphicFramePr>
        <xdr:cNvPr id="4" name="Chart 3"/>
        <xdr:cNvGraphicFramePr/>
      </xdr:nvGraphicFramePr>
      <xdr:xfrm>
        <a:off x="0" y="10220325"/>
        <a:ext cx="4771390" cy="338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172080</xdr:colOff>
      <xdr:row>44</xdr:row>
      <xdr:rowOff>0</xdr:rowOff>
    </xdr:from>
    <xdr:to>
      <xdr:col>16</xdr:col>
      <xdr:colOff>104400</xdr:colOff>
      <xdr:row>60</xdr:row>
      <xdr:rowOff>199080</xdr:rowOff>
    </xdr:to>
    <xdr:graphicFrame>
      <xdr:nvGraphicFramePr>
        <xdr:cNvPr id="5" name="Chart 4"/>
        <xdr:cNvGraphicFramePr/>
      </xdr:nvGraphicFramePr>
      <xdr:xfrm>
        <a:off x="4838700" y="10220325"/>
        <a:ext cx="5933440" cy="338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61</xdr:row>
      <xdr:rowOff>0</xdr:rowOff>
    </xdr:from>
    <xdr:to>
      <xdr:col>7</xdr:col>
      <xdr:colOff>104760</xdr:colOff>
      <xdr:row>77</xdr:row>
      <xdr:rowOff>189360</xdr:rowOff>
    </xdr:to>
    <xdr:graphicFrame>
      <xdr:nvGraphicFramePr>
        <xdr:cNvPr id="6" name="Chart 5"/>
        <xdr:cNvGraphicFramePr/>
      </xdr:nvGraphicFramePr>
      <xdr:xfrm>
        <a:off x="0" y="13611225"/>
        <a:ext cx="4771390" cy="3380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171360</xdr:colOff>
      <xdr:row>61</xdr:row>
      <xdr:rowOff>0</xdr:rowOff>
    </xdr:from>
    <xdr:to>
      <xdr:col>16</xdr:col>
      <xdr:colOff>104400</xdr:colOff>
      <xdr:row>77</xdr:row>
      <xdr:rowOff>189360</xdr:rowOff>
    </xdr:to>
    <xdr:graphicFrame>
      <xdr:nvGraphicFramePr>
        <xdr:cNvPr id="7" name="Chart 6"/>
        <xdr:cNvGraphicFramePr/>
      </xdr:nvGraphicFramePr>
      <xdr:xfrm>
        <a:off x="4838065" y="13611225"/>
        <a:ext cx="5934075" cy="3380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..\..\..\..\..\..\..\..\..\Agencies\June 09, 2026\DA - CARAGA\Bidding Document.pdf" TargetMode="External"/><Relationship Id="rId8" Type="http://schemas.openxmlformats.org/officeDocument/2006/relationships/hyperlink" Target="../../../../../../../../../Agencies/June 11, 2026/NEMSU Tandag Campus/RFQ.pdf" TargetMode="External"/><Relationship Id="rId7" Type="http://schemas.openxmlformats.org/officeDocument/2006/relationships/hyperlink" Target="..\..\..\..\..\..\..\..\..\Agencies\June 11, 2026\NEMSU Tandag Campus - 1\RFQ.pdf" TargetMode="External"/><Relationship Id="rId6" Type="http://schemas.openxmlformats.org/officeDocument/2006/relationships/hyperlink" Target="../../../../../../../../../Agencies/June 11, 2026/DSWD_1 - Caraga/NP- TWO FAILED BIDDING - NEGOTIATION DOCUMENT.pdf" TargetMode="External"/><Relationship Id="rId5" Type="http://schemas.openxmlformats.org/officeDocument/2006/relationships/hyperlink" Target="../../../../../../../../../Agencies/June 11, 2026/DSWD - Caraga/Request for Quotation.pdf" TargetMode="External"/><Relationship Id="rId4" Type="http://schemas.openxmlformats.org/officeDocument/2006/relationships/hyperlink" Target="..\..\..\..\..\..\..\..\..\Agencies\May 30, 2026\CRH\A. TECHNICAL SPECS.pdf" TargetMode="External"/><Relationship Id="rId3" Type="http://schemas.openxmlformats.org/officeDocument/2006/relationships/hyperlink" Target="../../../../../../../../../Agencies/June 11, 2026/DOH - Caraga/TOKEN AND AWARDS.pdf" TargetMode="External"/><Relationship Id="rId2" Type="http://schemas.openxmlformats.org/officeDocument/2006/relationships/hyperlink" Target="../../../../../../../../../Agencies/June 11, 2026/DPWH - Caraga/SPECS FOR PR NO. 2026-06-0105 DATED 06-02-2026.pdf" TargetMode="External"/><Relationship Id="rId18" Type="http://schemas.openxmlformats.org/officeDocument/2006/relationships/hyperlink" Target="PHILGEPS\13061994.pdf" TargetMode="External"/><Relationship Id="rId17" Type="http://schemas.openxmlformats.org/officeDocument/2006/relationships/hyperlink" Target="PHILGEPS\13062125.pdf" TargetMode="External"/><Relationship Id="rId16" Type="http://schemas.openxmlformats.org/officeDocument/2006/relationships/hyperlink" Target="../Agencies/June 18, 2026/DEPED - CBR_FISH/Grocery Items - fish.pdf" TargetMode="External"/><Relationship Id="rId15" Type="http://schemas.openxmlformats.org/officeDocument/2006/relationships/hyperlink" Target="../Agencies/June 18, 2026/DEPED - CBR_MEATS/Grocery Items (1).pdf" TargetMode="External"/><Relationship Id="rId14" Type="http://schemas.openxmlformats.org/officeDocument/2006/relationships/hyperlink" Target="../Agencies/June 18, 2026/DEPED - CBR_RICE/Grocery Items.pdf" TargetMode="External"/><Relationship Id="rId13" Type="http://schemas.openxmlformats.org/officeDocument/2006/relationships/hyperlink" Target="..\..\..\..\..\..\..\..\..\Agencies\JUNE 17, 2026\CSU - CARAGA\Canvass Form.pdf" TargetMode="External"/><Relationship Id="rId12" Type="http://schemas.openxmlformats.org/officeDocument/2006/relationships/hyperlink" Target="..\..\..\..\..\..\..\..\..\Agencies\June 14, 2026\DSWD_BACUAG- CARAGA\NP- TWO FAILED BIDDING - NEGOTIATION DOCUMENT.pdf" TargetMode="External"/><Relationship Id="rId11" Type="http://schemas.openxmlformats.org/officeDocument/2006/relationships/hyperlink" Target="..\..\..\..\..\..\..\..\..\Agencies\June 14, 2026\DEPED - CARAGA\1781328153_2026_06_0245_Supplies_Jalalon.pdf" TargetMode="External"/><Relationship Id="rId10" Type="http://schemas.openxmlformats.org/officeDocument/2006/relationships/hyperlink" Target="..\..\..\..\..\..\..\..\..\Agencies\June 14, 2026\DSWD - CARAGA\BIDDING DOCUMENTS.pdf" TargetMode="External"/><Relationship Id="rId1" Type="http://schemas.openxmlformats.org/officeDocument/2006/relationships/hyperlink" Target="../../../../../../../../../Agencies/June 11, 2026/DST - Caraga/Request for Quotation-LAPTO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8"/>
  <sheetViews>
    <sheetView showGridLines="0" zoomScale="85" zoomScaleNormal="85" workbookViewId="0">
      <selection activeCell="S1" sqref="S1:AJ1"/>
    </sheetView>
  </sheetViews>
  <sheetFormatPr defaultColWidth="8.71428571428571" defaultRowHeight="15"/>
  <cols>
    <col min="1" max="18" width="10" style="1" customWidth="1"/>
  </cols>
  <sheetData>
    <row r="1" ht="54.75" customHeight="1" spans="1:36">
      <c r="A1" s="192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 t="s">
        <v>0</v>
      </c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</row>
    <row r="2" ht="18" customHeight="1" spans="1:36">
      <c r="A2" s="193" t="s">
        <v>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 t="s">
        <v>1</v>
      </c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</row>
    <row r="3" ht="18" customHeight="1" spans="1:36">
      <c r="A3" s="194">
        <f ca="1">TODAY()</f>
        <v>46193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</row>
    <row r="4" ht="18" customHeight="1"/>
    <row r="5" ht="18" customHeight="1" spans="1:36">
      <c r="A5" s="195" t="s">
        <v>2</v>
      </c>
      <c r="B5" s="195"/>
      <c r="C5" s="195"/>
      <c r="D5" s="196" t="s">
        <v>3</v>
      </c>
      <c r="E5" s="196"/>
      <c r="F5" s="196"/>
      <c r="G5" s="197" t="s">
        <v>4</v>
      </c>
      <c r="H5" s="197"/>
      <c r="I5" s="197"/>
      <c r="J5" s="198" t="s">
        <v>5</v>
      </c>
      <c r="K5" s="198"/>
      <c r="L5" s="198"/>
      <c r="M5" s="199" t="s">
        <v>6</v>
      </c>
      <c r="N5" s="199"/>
      <c r="O5" s="199"/>
      <c r="P5" s="200" t="s">
        <v>7</v>
      </c>
      <c r="Q5" s="200"/>
      <c r="R5" s="200"/>
      <c r="S5" s="201" t="s">
        <v>8</v>
      </c>
      <c r="T5" s="202"/>
      <c r="U5" s="202"/>
    </row>
    <row r="6" ht="18" customHeight="1" spans="1:36">
      <c r="A6" s="203" t="s">
        <v>9</v>
      </c>
      <c r="B6" s="203"/>
      <c r="C6" s="203"/>
      <c r="D6" s="204" t="s">
        <v>10</v>
      </c>
      <c r="E6" s="204"/>
      <c r="F6" s="204"/>
      <c r="G6" s="205" t="s">
        <v>11</v>
      </c>
      <c r="H6" s="205"/>
      <c r="I6" s="205"/>
      <c r="J6" s="206" t="s">
        <v>12</v>
      </c>
      <c r="K6" s="206"/>
      <c r="L6" s="206"/>
      <c r="M6" s="207" t="s">
        <v>13</v>
      </c>
      <c r="N6" s="207"/>
      <c r="O6" s="207"/>
      <c r="P6" s="208" t="s">
        <v>14</v>
      </c>
      <c r="Q6" s="208"/>
      <c r="R6" s="208"/>
      <c r="S6" s="209" t="s">
        <v>15</v>
      </c>
      <c r="T6" s="209"/>
      <c r="U6" s="209"/>
    </row>
    <row r="7" ht="18" customHeight="1" spans="1:36">
      <c r="A7" s="192">
        <f ca="1">COUNTIFS('Bid Monitoring'!A:A,TODAY())</f>
        <v>2</v>
      </c>
      <c r="B7" s="192"/>
      <c r="C7" s="192"/>
      <c r="D7" s="210">
        <f ca="1">COUNTIFS('Bid Monitoring'!A:A,"&gt;="&amp;TODAY()-WEEKDAY(TODAY(),2)+1,'Bid Monitoring'!A:A,"&lt;="&amp;TODAY()-WEEKDAY(TODAY(),2)+7)</f>
        <v>6</v>
      </c>
      <c r="E7" s="210"/>
      <c r="F7" s="210"/>
      <c r="G7" s="211">
        <f ca="1">COUNTIFS('Bid Monitoring'!A:A,"&gt;="&amp;DATE(YEAR(TODAY()),MONTH(TODAY()),1),'Bid Monitoring'!A:A,"&lt;="&amp;EOMONTH(TODAY(),0))</f>
        <v>32</v>
      </c>
      <c r="H7" s="211"/>
      <c r="I7" s="211"/>
      <c r="J7" s="212">
        <f>IFERROR(SUMIF('Bid Monitoring'!N:N,"&lt;&gt;Cancelled",'Bid Monitoring'!H:H),0)</f>
        <v>35076412.99</v>
      </c>
      <c r="K7" s="212"/>
      <c r="L7" s="212"/>
      <c r="M7" s="213">
        <f>COUNTIF('Bid Monitoring'!N:N,"Pending")+COUNTIF('Bid Monitoring'!N:N,"Interested")+COUNTIF('Bid Monitoring'!N:N,"For Review")+COUNTIF('Bid Monitoring'!N:N,"For Canvas")+COUNTIF('Bid Monitoring'!N:N,"Under Evaluation")+COUNTIF('Bid Monitoring'!N:N,"Preparing Documents")+COUNTIF('Bid Monitoring'!N:N,"New")+COUNTIF('Bid Monitoring'!N:N,"Submitting")</f>
        <v>18</v>
      </c>
      <c r="N7" s="213"/>
      <c r="O7" s="213"/>
      <c r="P7" s="214">
        <f ca="1">COUNTIFS('Bid Monitoring'!I:I,"&gt;="&amp;TODAY(),'Bid Monitoring'!I:I,"&lt;="&amp;TODAY()+7)</f>
        <v>8</v>
      </c>
      <c r="Q7" s="214"/>
      <c r="R7" s="214"/>
      <c r="S7" s="215">
        <f>COUNTIF('Bid Monitoring'!N:N,"Pending")</f>
        <v>2</v>
      </c>
      <c r="T7" s="215"/>
      <c r="U7" s="215"/>
    </row>
    <row r="8" ht="18" customHeight="1" spans="1:36">
      <c r="A8" s="216"/>
      <c r="B8" s="216"/>
      <c r="C8" s="216"/>
      <c r="D8" s="217"/>
      <c r="E8" s="217"/>
      <c r="F8" s="217"/>
      <c r="G8" s="218"/>
      <c r="H8" s="218"/>
      <c r="I8" s="218"/>
      <c r="J8" s="219"/>
      <c r="K8" s="219"/>
      <c r="L8" s="219"/>
      <c r="M8" s="220"/>
      <c r="N8" s="220"/>
      <c r="O8" s="220"/>
      <c r="P8" s="221"/>
      <c r="Q8" s="221"/>
      <c r="R8" s="221"/>
      <c r="S8" s="222"/>
      <c r="T8" s="222"/>
      <c r="U8" s="222"/>
    </row>
    <row r="9" ht="21.75" customHeight="1" spans="1:36">
      <c r="A9" s="223" t="s">
        <v>8</v>
      </c>
      <c r="D9" s="224" t="s">
        <v>16</v>
      </c>
      <c r="G9" s="225" t="s">
        <v>17</v>
      </c>
      <c r="J9" s="226" t="s">
        <v>18</v>
      </c>
      <c r="M9" s="227" t="s">
        <v>19</v>
      </c>
      <c r="P9" s="228" t="s">
        <v>20</v>
      </c>
    </row>
    <row r="10" ht="19.5" customHeight="1" spans="1:36">
      <c r="A10" s="229" t="s">
        <v>21</v>
      </c>
      <c r="B10" s="229"/>
      <c r="C10" s="229"/>
      <c r="D10" s="230" t="s">
        <v>22</v>
      </c>
      <c r="E10" s="230"/>
      <c r="F10" s="230"/>
      <c r="G10" s="207" t="s">
        <v>23</v>
      </c>
      <c r="H10" s="207"/>
      <c r="I10" s="207"/>
      <c r="J10" s="208" t="s">
        <v>24</v>
      </c>
      <c r="K10" s="208"/>
      <c r="L10" s="208"/>
      <c r="M10" s="231" t="s">
        <v>25</v>
      </c>
      <c r="N10" s="231"/>
      <c r="O10" s="231"/>
      <c r="P10" s="206" t="s">
        <v>26</v>
      </c>
      <c r="Q10" s="206"/>
      <c r="R10" s="206"/>
    </row>
    <row r="11" ht="30" customHeight="1" spans="1:36">
      <c r="A11" s="232">
        <f>COUNTIF('Bid Monitoring'!N:N,"Submitted")</f>
        <v>4</v>
      </c>
      <c r="B11" s="232"/>
      <c r="C11" s="232"/>
      <c r="D11" s="233">
        <f>COUNTIF('Bid Monitoring'!N:N,"Under Evaluation")</f>
        <v>2</v>
      </c>
      <c r="E11" s="233"/>
      <c r="F11" s="233"/>
      <c r="G11" s="213">
        <f>COUNTIF('Bid Monitoring'!N:N,"Awarded")</f>
        <v>0</v>
      </c>
      <c r="H11" s="213"/>
      <c r="I11" s="213"/>
      <c r="J11" s="214">
        <f>COUNTIF('Bid Monitoring'!N:N,"Lost")</f>
        <v>0</v>
      </c>
      <c r="K11" s="214"/>
      <c r="L11" s="214"/>
      <c r="M11" s="234">
        <f>COUNTIF('Bid Monitoring'!N:N,"Cancelled")</f>
        <v>8</v>
      </c>
      <c r="N11" s="234"/>
      <c r="O11" s="234"/>
      <c r="P11" s="235">
        <f>IFERROR(COUNTIF('Bid Monitoring'!N:N,"Awarded")/COUNTIF('Bid Monitoring'!N:N,"Submitted"),0)</f>
        <v>0</v>
      </c>
      <c r="Q11" s="235"/>
      <c r="R11" s="235"/>
    </row>
    <row r="12" ht="7.5" customHeight="1" spans="1:36">
      <c r="A12" s="236"/>
      <c r="B12" s="236"/>
      <c r="C12" s="236"/>
      <c r="D12" s="237"/>
      <c r="E12" s="237"/>
      <c r="F12" s="237"/>
      <c r="G12" s="220"/>
      <c r="H12" s="220"/>
      <c r="I12" s="220"/>
      <c r="J12" s="221"/>
      <c r="K12" s="221"/>
      <c r="L12" s="221"/>
      <c r="M12" s="238"/>
      <c r="N12" s="238"/>
      <c r="O12" s="238"/>
      <c r="P12" s="219"/>
      <c r="Q12" s="219"/>
      <c r="R12" s="219"/>
    </row>
    <row r="13" ht="9.75" customHeight="1"/>
    <row r="14" ht="27.75" customHeight="1" spans="1:36">
      <c r="A14" s="239" t="s">
        <v>27</v>
      </c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</row>
    <row r="15" ht="23.25" customHeight="1" spans="1:36">
      <c r="A15" s="240" t="s">
        <v>28</v>
      </c>
      <c r="B15" s="240" t="s">
        <v>29</v>
      </c>
      <c r="C15" s="240" t="s">
        <v>30</v>
      </c>
      <c r="D15" s="240" t="s">
        <v>31</v>
      </c>
      <c r="E15" s="240" t="s">
        <v>32</v>
      </c>
      <c r="F15" s="240" t="s">
        <v>33</v>
      </c>
      <c r="G15" s="240" t="s">
        <v>34</v>
      </c>
      <c r="H15" s="240" t="s">
        <v>35</v>
      </c>
      <c r="I15" s="240" t="s">
        <v>36</v>
      </c>
      <c r="J15" s="240" t="s">
        <v>37</v>
      </c>
    </row>
    <row r="16" ht="18" customHeight="1" spans="1:36">
      <c r="A16" s="160">
        <v>1</v>
      </c>
      <c r="B16" s="241" t="s">
        <v>38</v>
      </c>
      <c r="C16" s="241"/>
      <c r="D16" s="241"/>
      <c r="E16" s="241"/>
      <c r="F16" s="241"/>
      <c r="G16" s="241"/>
      <c r="H16" s="241"/>
      <c r="I16" s="241"/>
      <c r="J16" s="241"/>
    </row>
    <row r="17" ht="18" customHeight="1" spans="1:18">
      <c r="A17" s="29">
        <v>2</v>
      </c>
      <c r="B17" s="29"/>
      <c r="C17" s="29"/>
      <c r="D17" s="29"/>
      <c r="E17" s="29"/>
      <c r="F17" s="29"/>
      <c r="G17" s="29"/>
      <c r="H17" s="29"/>
      <c r="I17" s="29"/>
      <c r="J17" s="29"/>
    </row>
    <row r="18" ht="18" customHeight="1" spans="1:18">
      <c r="A18" s="160">
        <v>3</v>
      </c>
      <c r="B18" s="160"/>
      <c r="C18" s="160"/>
      <c r="D18" s="160"/>
      <c r="E18" s="160"/>
      <c r="F18" s="160"/>
      <c r="G18" s="160"/>
      <c r="H18" s="160"/>
      <c r="I18" s="160"/>
      <c r="J18" s="160"/>
    </row>
    <row r="19" ht="18" customHeight="1" spans="1:18">
      <c r="A19" s="29">
        <v>4</v>
      </c>
      <c r="B19" s="29"/>
      <c r="C19" s="29"/>
      <c r="D19" s="29"/>
      <c r="E19" s="29"/>
      <c r="F19" s="29"/>
      <c r="G19" s="29"/>
      <c r="H19" s="29"/>
      <c r="I19" s="29"/>
      <c r="J19" s="29"/>
    </row>
    <row r="20" ht="18" customHeight="1" spans="1:18">
      <c r="A20" s="160">
        <v>5</v>
      </c>
      <c r="B20" s="160"/>
      <c r="C20" s="160"/>
      <c r="D20" s="160"/>
      <c r="E20" s="160"/>
      <c r="F20" s="160"/>
      <c r="G20" s="160"/>
      <c r="H20" s="160"/>
      <c r="I20" s="160"/>
      <c r="J20" s="160"/>
    </row>
    <row r="21" ht="18" customHeight="1" spans="1:18">
      <c r="A21" s="29">
        <v>6</v>
      </c>
      <c r="B21" s="29"/>
      <c r="C21" s="29"/>
      <c r="D21" s="29"/>
      <c r="E21" s="29"/>
      <c r="F21" s="29"/>
      <c r="G21" s="29"/>
      <c r="H21" s="29"/>
      <c r="I21" s="29"/>
      <c r="J21" s="29"/>
    </row>
    <row r="22" ht="18" customHeight="1" spans="1:18">
      <c r="A22" s="160">
        <v>7</v>
      </c>
      <c r="B22" s="160"/>
      <c r="C22" s="160"/>
      <c r="D22" s="160"/>
      <c r="E22" s="160"/>
      <c r="F22" s="160"/>
      <c r="G22" s="160"/>
      <c r="H22" s="160"/>
      <c r="I22" s="160"/>
      <c r="J22" s="160"/>
    </row>
    <row r="23" ht="18" customHeight="1" spans="1:18">
      <c r="A23" s="29">
        <v>8</v>
      </c>
      <c r="B23" s="29"/>
      <c r="C23" s="29"/>
      <c r="D23" s="29"/>
      <c r="E23" s="29"/>
      <c r="F23" s="29"/>
      <c r="G23" s="29"/>
      <c r="H23" s="29"/>
      <c r="I23" s="29"/>
      <c r="J23" s="29"/>
    </row>
    <row r="24" ht="18" customHeight="1" spans="1:18">
      <c r="A24" s="160">
        <v>9</v>
      </c>
      <c r="B24" s="160"/>
      <c r="C24" s="160"/>
      <c r="D24" s="160"/>
      <c r="E24" s="160"/>
      <c r="F24" s="160"/>
      <c r="G24" s="160"/>
      <c r="H24" s="160"/>
      <c r="I24" s="160"/>
      <c r="J24" s="160"/>
    </row>
    <row r="25" ht="18" customHeight="1" spans="1:18">
      <c r="A25" s="29">
        <v>10</v>
      </c>
      <c r="B25" s="29"/>
      <c r="C25" s="29"/>
      <c r="D25" s="29"/>
      <c r="E25" s="29"/>
      <c r="F25" s="29"/>
      <c r="G25" s="29"/>
      <c r="H25" s="29"/>
      <c r="I25" s="29"/>
      <c r="J25" s="29"/>
    </row>
    <row r="26" ht="9.75" customHeight="1"/>
    <row r="27" ht="27.75" customHeight="1" spans="1:18">
      <c r="A27" s="242" t="s">
        <v>39</v>
      </c>
      <c r="B27" s="242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</row>
    <row r="28" customHeight="1" spans="1:18">
      <c r="A28" s="243" t="s">
        <v>40</v>
      </c>
      <c r="B28" s="243"/>
      <c r="C28" s="243"/>
      <c r="D28" s="243"/>
      <c r="E28" s="243"/>
      <c r="F28" s="243"/>
      <c r="G28" s="243"/>
      <c r="H28" s="243"/>
      <c r="I28" s="243"/>
      <c r="J28" s="244" t="s">
        <v>41</v>
      </c>
      <c r="K28" s="244"/>
      <c r="L28" s="244"/>
      <c r="M28" s="244"/>
      <c r="N28" s="244"/>
      <c r="O28" s="244"/>
      <c r="P28" s="244"/>
      <c r="Q28" s="244"/>
      <c r="R28" s="244"/>
    </row>
    <row r="29" ht="15.75" customHeight="1" spans="1:18">
      <c r="A29" s="243"/>
      <c r="B29" s="243"/>
      <c r="C29" s="243"/>
      <c r="D29" s="243"/>
      <c r="E29" s="243"/>
      <c r="F29" s="243"/>
      <c r="G29" s="243"/>
      <c r="H29" s="243"/>
      <c r="I29" s="243"/>
      <c r="J29" s="244"/>
      <c r="K29" s="244"/>
      <c r="L29" s="244"/>
      <c r="M29" s="244"/>
      <c r="N29" s="244"/>
      <c r="O29" s="244"/>
      <c r="P29" s="244"/>
      <c r="Q29" s="244"/>
      <c r="R29" s="244"/>
    </row>
    <row r="30" ht="15.75" customHeight="1" spans="1:18">
      <c r="A30" s="243"/>
      <c r="B30" s="243"/>
      <c r="C30" s="243"/>
      <c r="D30" s="243"/>
      <c r="E30" s="243"/>
      <c r="F30" s="243"/>
      <c r="G30" s="243"/>
      <c r="H30" s="243"/>
      <c r="I30" s="243"/>
      <c r="J30" s="244"/>
      <c r="K30" s="244"/>
      <c r="L30" s="244"/>
      <c r="M30" s="244"/>
      <c r="N30" s="244"/>
      <c r="O30" s="244"/>
      <c r="P30" s="244"/>
      <c r="Q30" s="244"/>
      <c r="R30" s="244"/>
    </row>
    <row r="31" ht="15.75" customHeight="1" spans="1:18">
      <c r="A31" s="243"/>
      <c r="B31" s="243"/>
      <c r="C31" s="243"/>
      <c r="D31" s="243"/>
      <c r="E31" s="243"/>
      <c r="F31" s="243"/>
      <c r="G31" s="243"/>
      <c r="H31" s="243"/>
      <c r="I31" s="243"/>
      <c r="J31" s="244"/>
      <c r="K31" s="244"/>
      <c r="L31" s="244"/>
      <c r="M31" s="244"/>
      <c r="N31" s="244"/>
      <c r="O31" s="244"/>
      <c r="P31" s="244"/>
      <c r="Q31" s="244"/>
      <c r="R31" s="244"/>
    </row>
    <row r="32" ht="15.75" customHeight="1" spans="1:18">
      <c r="A32" s="243"/>
      <c r="B32" s="243"/>
      <c r="C32" s="243"/>
      <c r="D32" s="243"/>
      <c r="E32" s="243"/>
      <c r="F32" s="243"/>
      <c r="G32" s="243"/>
      <c r="H32" s="243"/>
      <c r="I32" s="243"/>
      <c r="J32" s="244"/>
      <c r="K32" s="244"/>
      <c r="L32" s="244"/>
      <c r="M32" s="244"/>
      <c r="N32" s="244"/>
      <c r="O32" s="244"/>
      <c r="P32" s="244"/>
      <c r="Q32" s="244"/>
      <c r="R32" s="244"/>
    </row>
    <row r="33" ht="15.75" customHeight="1" spans="1:18">
      <c r="A33" s="243"/>
      <c r="B33" s="243"/>
      <c r="C33" s="243"/>
      <c r="D33" s="243"/>
      <c r="E33" s="243"/>
      <c r="F33" s="243"/>
      <c r="G33" s="243"/>
      <c r="H33" s="243"/>
      <c r="I33" s="243"/>
      <c r="J33" s="244"/>
      <c r="K33" s="244"/>
      <c r="L33" s="244"/>
      <c r="M33" s="244"/>
      <c r="N33" s="244"/>
      <c r="O33" s="244"/>
      <c r="P33" s="244"/>
      <c r="Q33" s="244"/>
      <c r="R33" s="244"/>
    </row>
    <row r="34" ht="15.75" customHeight="1" spans="1:18">
      <c r="A34" s="243"/>
      <c r="B34" s="243"/>
      <c r="C34" s="243"/>
      <c r="D34" s="243"/>
      <c r="E34" s="243"/>
      <c r="F34" s="243"/>
      <c r="G34" s="243"/>
      <c r="H34" s="243"/>
      <c r="I34" s="243"/>
      <c r="J34" s="244"/>
      <c r="K34" s="244"/>
      <c r="L34" s="244"/>
      <c r="M34" s="244"/>
      <c r="N34" s="244"/>
      <c r="O34" s="244"/>
      <c r="P34" s="244"/>
      <c r="Q34" s="244"/>
      <c r="R34" s="244"/>
    </row>
    <row r="35" ht="15.75" customHeight="1" spans="1:18">
      <c r="A35" s="243"/>
      <c r="B35" s="243"/>
      <c r="C35" s="243"/>
      <c r="D35" s="243"/>
      <c r="E35" s="243"/>
      <c r="F35" s="243"/>
      <c r="G35" s="243"/>
      <c r="H35" s="243"/>
      <c r="I35" s="243"/>
      <c r="J35" s="244"/>
      <c r="K35" s="244"/>
      <c r="L35" s="244"/>
      <c r="M35" s="244"/>
      <c r="N35" s="244"/>
      <c r="O35" s="244"/>
      <c r="P35" s="244"/>
      <c r="Q35" s="244"/>
      <c r="R35" s="244"/>
    </row>
    <row r="36" ht="15.75" customHeight="1" spans="1:18">
      <c r="A36" s="243"/>
      <c r="B36" s="243"/>
      <c r="C36" s="243"/>
      <c r="D36" s="243"/>
      <c r="E36" s="243"/>
      <c r="F36" s="243"/>
      <c r="G36" s="243"/>
      <c r="H36" s="243"/>
      <c r="I36" s="243"/>
      <c r="J36" s="244"/>
      <c r="K36" s="244"/>
      <c r="L36" s="244"/>
      <c r="M36" s="244"/>
      <c r="N36" s="244"/>
      <c r="O36" s="244"/>
      <c r="P36" s="244"/>
      <c r="Q36" s="244"/>
      <c r="R36" s="244"/>
    </row>
    <row r="37" ht="15.75" customHeight="1" spans="1:18">
      <c r="A37" s="243"/>
      <c r="B37" s="243"/>
      <c r="C37" s="243"/>
      <c r="D37" s="243"/>
      <c r="E37" s="243"/>
      <c r="F37" s="243"/>
      <c r="G37" s="243"/>
      <c r="H37" s="243"/>
      <c r="I37" s="243"/>
      <c r="J37" s="244"/>
      <c r="K37" s="244"/>
      <c r="L37" s="244"/>
      <c r="M37" s="244"/>
      <c r="N37" s="244"/>
      <c r="O37" s="244"/>
      <c r="P37" s="244"/>
      <c r="Q37" s="244"/>
      <c r="R37" s="244"/>
    </row>
    <row r="38" ht="15.75" customHeight="1" spans="1:18">
      <c r="A38" s="243"/>
      <c r="B38" s="243"/>
      <c r="C38" s="243"/>
      <c r="D38" s="243"/>
      <c r="E38" s="243"/>
      <c r="F38" s="243"/>
      <c r="G38" s="243"/>
      <c r="H38" s="243"/>
      <c r="I38" s="243"/>
      <c r="J38" s="244"/>
      <c r="K38" s="244"/>
      <c r="L38" s="244"/>
      <c r="M38" s="244"/>
      <c r="N38" s="244"/>
      <c r="O38" s="244"/>
      <c r="P38" s="244"/>
      <c r="Q38" s="244"/>
      <c r="R38" s="244"/>
    </row>
    <row r="39" ht="15.75" customHeight="1" spans="1:18">
      <c r="A39" s="243"/>
      <c r="B39" s="243"/>
      <c r="C39" s="243"/>
      <c r="D39" s="243"/>
      <c r="E39" s="243"/>
      <c r="F39" s="243"/>
      <c r="G39" s="243"/>
      <c r="H39" s="243"/>
      <c r="I39" s="243"/>
      <c r="J39" s="244"/>
      <c r="K39" s="244"/>
      <c r="L39" s="244"/>
      <c r="M39" s="244"/>
      <c r="N39" s="244"/>
      <c r="O39" s="244"/>
      <c r="P39" s="244"/>
      <c r="Q39" s="244"/>
      <c r="R39" s="244"/>
    </row>
    <row r="40" ht="15.75" customHeight="1" spans="1:18">
      <c r="A40" s="243"/>
      <c r="B40" s="243"/>
      <c r="C40" s="243"/>
      <c r="D40" s="243"/>
      <c r="E40" s="243"/>
      <c r="F40" s="243"/>
      <c r="G40" s="243"/>
      <c r="H40" s="243"/>
      <c r="I40" s="243"/>
      <c r="J40" s="244"/>
      <c r="K40" s="244"/>
      <c r="L40" s="244"/>
      <c r="M40" s="244"/>
      <c r="N40" s="244"/>
      <c r="O40" s="244"/>
      <c r="P40" s="244"/>
      <c r="Q40" s="244"/>
      <c r="R40" s="244"/>
    </row>
    <row r="41" ht="15.75" customHeight="1" spans="1:18">
      <c r="A41" s="243"/>
      <c r="B41" s="243"/>
      <c r="C41" s="243"/>
      <c r="D41" s="243"/>
      <c r="E41" s="243"/>
      <c r="F41" s="243"/>
      <c r="G41" s="243"/>
      <c r="H41" s="243"/>
      <c r="I41" s="243"/>
      <c r="J41" s="244"/>
      <c r="K41" s="244"/>
      <c r="L41" s="244"/>
      <c r="M41" s="244"/>
      <c r="N41" s="244"/>
      <c r="O41" s="244"/>
      <c r="P41" s="244"/>
      <c r="Q41" s="244"/>
      <c r="R41" s="244"/>
    </row>
    <row r="42" ht="15.75" customHeight="1" spans="1:18">
      <c r="A42" s="243"/>
      <c r="B42" s="243"/>
      <c r="C42" s="243"/>
      <c r="D42" s="243"/>
      <c r="E42" s="243"/>
      <c r="F42" s="243"/>
      <c r="G42" s="243"/>
      <c r="H42" s="243"/>
      <c r="I42" s="243"/>
      <c r="J42" s="244"/>
      <c r="K42" s="244"/>
      <c r="L42" s="244"/>
      <c r="M42" s="244"/>
      <c r="N42" s="244"/>
      <c r="O42" s="244"/>
      <c r="P42" s="244"/>
      <c r="Q42" s="244"/>
      <c r="R42" s="244"/>
    </row>
    <row r="43" ht="15.75" customHeight="1" spans="1:18">
      <c r="A43" s="243"/>
      <c r="B43" s="243"/>
      <c r="C43" s="243"/>
      <c r="D43" s="243"/>
      <c r="E43" s="243"/>
      <c r="F43" s="243"/>
      <c r="G43" s="243"/>
      <c r="H43" s="243"/>
      <c r="I43" s="243"/>
      <c r="J43" s="244"/>
      <c r="K43" s="244"/>
      <c r="L43" s="244"/>
      <c r="M43" s="244"/>
      <c r="N43" s="244"/>
      <c r="O43" s="244"/>
      <c r="P43" s="244"/>
      <c r="Q43" s="244"/>
      <c r="R43" s="244"/>
    </row>
    <row r="44" ht="15.75" customHeight="1" spans="1:18">
      <c r="A44" s="243"/>
      <c r="B44" s="243"/>
      <c r="C44" s="243"/>
      <c r="D44" s="243"/>
      <c r="E44" s="243"/>
      <c r="F44" s="243"/>
      <c r="G44" s="243"/>
      <c r="H44" s="243"/>
      <c r="I44" s="243"/>
      <c r="J44" s="244"/>
      <c r="K44" s="244"/>
      <c r="L44" s="244"/>
      <c r="M44" s="244"/>
      <c r="N44" s="244"/>
      <c r="O44" s="244"/>
      <c r="P44" s="244"/>
      <c r="Q44" s="244"/>
      <c r="R44" s="244"/>
    </row>
    <row r="45" customHeight="1" spans="1:18">
      <c r="A45" s="245" t="s">
        <v>42</v>
      </c>
      <c r="B45" s="245"/>
      <c r="C45" s="245"/>
      <c r="D45" s="245"/>
      <c r="E45" s="245"/>
      <c r="F45" s="245"/>
      <c r="G45" s="245"/>
      <c r="H45" s="245"/>
      <c r="I45" s="245"/>
      <c r="J45" s="246" t="s">
        <v>43</v>
      </c>
      <c r="K45" s="246"/>
      <c r="L45" s="246"/>
      <c r="M45" s="246"/>
      <c r="N45" s="246"/>
      <c r="O45" s="246"/>
      <c r="P45" s="246"/>
      <c r="Q45" s="246"/>
      <c r="R45" s="246"/>
    </row>
    <row r="46" ht="15.75" customHeight="1" spans="1:18">
      <c r="A46" s="245"/>
      <c r="B46" s="245"/>
      <c r="C46" s="245"/>
      <c r="D46" s="245"/>
      <c r="E46" s="245"/>
      <c r="F46" s="245"/>
      <c r="G46" s="245"/>
      <c r="H46" s="245"/>
      <c r="I46" s="245"/>
      <c r="J46" s="246"/>
      <c r="K46" s="246"/>
      <c r="L46" s="246"/>
      <c r="M46" s="246"/>
      <c r="N46" s="246"/>
      <c r="O46" s="246"/>
      <c r="P46" s="246"/>
      <c r="Q46" s="246"/>
      <c r="R46" s="246"/>
    </row>
    <row r="47" ht="15.75" customHeight="1" spans="1:18">
      <c r="A47" s="245"/>
      <c r="B47" s="245"/>
      <c r="C47" s="245"/>
      <c r="D47" s="245"/>
      <c r="E47" s="245"/>
      <c r="F47" s="245"/>
      <c r="G47" s="245"/>
      <c r="H47" s="245"/>
      <c r="I47" s="245"/>
      <c r="J47" s="246"/>
      <c r="K47" s="246"/>
      <c r="L47" s="246"/>
      <c r="M47" s="246"/>
      <c r="N47" s="246"/>
      <c r="O47" s="246"/>
      <c r="P47" s="246"/>
      <c r="Q47" s="246"/>
      <c r="R47" s="246"/>
    </row>
    <row r="48" ht="15.75" customHeight="1" spans="1:18">
      <c r="A48" s="245"/>
      <c r="B48" s="245"/>
      <c r="C48" s="245"/>
      <c r="D48" s="245"/>
      <c r="E48" s="245"/>
      <c r="F48" s="245"/>
      <c r="G48" s="245"/>
      <c r="H48" s="245"/>
      <c r="I48" s="245"/>
      <c r="J48" s="246"/>
      <c r="K48" s="246"/>
      <c r="L48" s="246"/>
      <c r="M48" s="246"/>
      <c r="N48" s="246"/>
      <c r="O48" s="246"/>
      <c r="P48" s="246"/>
      <c r="Q48" s="246"/>
      <c r="R48" s="246"/>
    </row>
    <row r="49" ht="15.75" customHeight="1" spans="1:18">
      <c r="A49" s="245"/>
      <c r="B49" s="245"/>
      <c r="C49" s="245"/>
      <c r="D49" s="245"/>
      <c r="E49" s="245"/>
      <c r="F49" s="245"/>
      <c r="G49" s="245"/>
      <c r="H49" s="245"/>
      <c r="I49" s="245"/>
      <c r="J49" s="246"/>
      <c r="K49" s="246"/>
      <c r="L49" s="246"/>
      <c r="M49" s="246"/>
      <c r="N49" s="246"/>
      <c r="O49" s="246"/>
      <c r="P49" s="246"/>
      <c r="Q49" s="246"/>
      <c r="R49" s="246"/>
    </row>
    <row r="50" ht="15.75" customHeight="1" spans="1:18">
      <c r="A50" s="245"/>
      <c r="B50" s="245"/>
      <c r="C50" s="245"/>
      <c r="D50" s="245"/>
      <c r="E50" s="245"/>
      <c r="F50" s="245"/>
      <c r="G50" s="245"/>
      <c r="H50" s="245"/>
      <c r="I50" s="245"/>
      <c r="J50" s="246"/>
      <c r="K50" s="246"/>
      <c r="L50" s="246"/>
      <c r="M50" s="246"/>
      <c r="N50" s="246"/>
      <c r="O50" s="246"/>
      <c r="P50" s="246"/>
      <c r="Q50" s="246"/>
      <c r="R50" s="246"/>
    </row>
    <row r="51" ht="15.75" customHeight="1" spans="1:18">
      <c r="A51" s="245"/>
      <c r="B51" s="245"/>
      <c r="C51" s="245"/>
      <c r="D51" s="245"/>
      <c r="E51" s="245"/>
      <c r="F51" s="245"/>
      <c r="G51" s="245"/>
      <c r="H51" s="245"/>
      <c r="I51" s="245"/>
      <c r="J51" s="246"/>
      <c r="K51" s="246"/>
      <c r="L51" s="246"/>
      <c r="M51" s="246"/>
      <c r="N51" s="246"/>
      <c r="O51" s="246"/>
      <c r="P51" s="246"/>
      <c r="Q51" s="246"/>
      <c r="R51" s="246"/>
    </row>
    <row r="52" ht="15.75" customHeight="1" spans="1:18">
      <c r="A52" s="245"/>
      <c r="B52" s="245"/>
      <c r="C52" s="245"/>
      <c r="D52" s="245"/>
      <c r="E52" s="245"/>
      <c r="F52" s="245"/>
      <c r="G52" s="245"/>
      <c r="H52" s="245"/>
      <c r="I52" s="245"/>
      <c r="J52" s="246"/>
      <c r="K52" s="246"/>
      <c r="L52" s="246"/>
      <c r="M52" s="246"/>
      <c r="N52" s="246"/>
      <c r="O52" s="246"/>
      <c r="P52" s="246"/>
      <c r="Q52" s="246"/>
      <c r="R52" s="246"/>
    </row>
    <row r="53" ht="15.75" customHeight="1" spans="1:18">
      <c r="A53" s="245"/>
      <c r="B53" s="245"/>
      <c r="C53" s="245"/>
      <c r="D53" s="245"/>
      <c r="E53" s="245"/>
      <c r="F53" s="245"/>
      <c r="G53" s="245"/>
      <c r="H53" s="245"/>
      <c r="I53" s="245"/>
      <c r="J53" s="246"/>
      <c r="K53" s="246"/>
      <c r="L53" s="246"/>
      <c r="M53" s="246"/>
      <c r="N53" s="246"/>
      <c r="O53" s="246"/>
      <c r="P53" s="246"/>
      <c r="Q53" s="246"/>
      <c r="R53" s="246"/>
    </row>
    <row r="54" ht="15.75" customHeight="1" spans="1:18">
      <c r="A54" s="245"/>
      <c r="B54" s="245"/>
      <c r="C54" s="245"/>
      <c r="D54" s="245"/>
      <c r="E54" s="245"/>
      <c r="F54" s="245"/>
      <c r="G54" s="245"/>
      <c r="H54" s="245"/>
      <c r="I54" s="245"/>
      <c r="J54" s="246"/>
      <c r="K54" s="246"/>
      <c r="L54" s="246"/>
      <c r="M54" s="246"/>
      <c r="N54" s="246"/>
      <c r="O54" s="246"/>
      <c r="P54" s="246"/>
      <c r="Q54" s="246"/>
      <c r="R54" s="246"/>
    </row>
    <row r="55" ht="15.75" customHeight="1" spans="1:18">
      <c r="A55" s="245"/>
      <c r="B55" s="245"/>
      <c r="C55" s="245"/>
      <c r="D55" s="245"/>
      <c r="E55" s="245"/>
      <c r="F55" s="245"/>
      <c r="G55" s="245"/>
      <c r="H55" s="245"/>
      <c r="I55" s="245"/>
      <c r="J55" s="246"/>
      <c r="K55" s="246"/>
      <c r="L55" s="246"/>
      <c r="M55" s="246"/>
      <c r="N55" s="246"/>
      <c r="O55" s="246"/>
      <c r="P55" s="246"/>
      <c r="Q55" s="246"/>
      <c r="R55" s="246"/>
    </row>
    <row r="56" ht="15.75" customHeight="1" spans="1:18">
      <c r="A56" s="245"/>
      <c r="B56" s="245"/>
      <c r="C56" s="245"/>
      <c r="D56" s="245"/>
      <c r="E56" s="245"/>
      <c r="F56" s="245"/>
      <c r="G56" s="245"/>
      <c r="H56" s="245"/>
      <c r="I56" s="245"/>
      <c r="J56" s="246"/>
      <c r="K56" s="246"/>
      <c r="L56" s="246"/>
      <c r="M56" s="246"/>
      <c r="N56" s="246"/>
      <c r="O56" s="246"/>
      <c r="P56" s="246"/>
      <c r="Q56" s="246"/>
      <c r="R56" s="246"/>
    </row>
    <row r="57" ht="15.75" customHeight="1" spans="1:18">
      <c r="A57" s="245"/>
      <c r="B57" s="245"/>
      <c r="C57" s="245"/>
      <c r="D57" s="245"/>
      <c r="E57" s="245"/>
      <c r="F57" s="245"/>
      <c r="G57" s="245"/>
      <c r="H57" s="245"/>
      <c r="I57" s="245"/>
      <c r="J57" s="246"/>
      <c r="K57" s="246"/>
      <c r="L57" s="246"/>
      <c r="M57" s="246"/>
      <c r="N57" s="246"/>
      <c r="O57" s="246"/>
      <c r="P57" s="246"/>
      <c r="Q57" s="246"/>
      <c r="R57" s="246"/>
    </row>
    <row r="58" ht="15.75" customHeight="1" spans="1:18">
      <c r="A58" s="245"/>
      <c r="B58" s="245"/>
      <c r="C58" s="245"/>
      <c r="D58" s="245"/>
      <c r="E58" s="245"/>
      <c r="F58" s="245"/>
      <c r="G58" s="245"/>
      <c r="H58" s="245"/>
      <c r="I58" s="245"/>
      <c r="J58" s="246"/>
      <c r="K58" s="246"/>
      <c r="L58" s="246"/>
      <c r="M58" s="246"/>
      <c r="N58" s="246"/>
      <c r="O58" s="246"/>
      <c r="P58" s="246"/>
      <c r="Q58" s="246"/>
      <c r="R58" s="246"/>
    </row>
    <row r="59" ht="15.75" customHeight="1" spans="1:18">
      <c r="A59" s="245"/>
      <c r="B59" s="245"/>
      <c r="C59" s="245"/>
      <c r="D59" s="245"/>
      <c r="E59" s="245"/>
      <c r="F59" s="245"/>
      <c r="G59" s="245"/>
      <c r="H59" s="245"/>
      <c r="I59" s="245"/>
      <c r="J59" s="246"/>
      <c r="K59" s="246"/>
      <c r="L59" s="246"/>
      <c r="M59" s="246"/>
      <c r="N59" s="246"/>
      <c r="O59" s="246"/>
      <c r="P59" s="246"/>
      <c r="Q59" s="246"/>
      <c r="R59" s="246"/>
    </row>
    <row r="60" ht="15.75" customHeight="1" spans="1:18">
      <c r="A60" s="245"/>
      <c r="B60" s="245"/>
      <c r="C60" s="245"/>
      <c r="D60" s="245"/>
      <c r="E60" s="245"/>
      <c r="F60" s="245"/>
      <c r="G60" s="245"/>
      <c r="H60" s="245"/>
      <c r="I60" s="245"/>
      <c r="J60" s="246"/>
      <c r="K60" s="246"/>
      <c r="L60" s="246"/>
      <c r="M60" s="246"/>
      <c r="N60" s="246"/>
      <c r="O60" s="246"/>
      <c r="P60" s="246"/>
      <c r="Q60" s="246"/>
      <c r="R60" s="246"/>
    </row>
    <row r="61" ht="15.75" customHeight="1" spans="1:18">
      <c r="A61" s="245"/>
      <c r="B61" s="245"/>
      <c r="C61" s="245"/>
      <c r="D61" s="245"/>
      <c r="E61" s="245"/>
      <c r="F61" s="245"/>
      <c r="G61" s="245"/>
      <c r="H61" s="245"/>
      <c r="I61" s="245"/>
      <c r="J61" s="246"/>
      <c r="K61" s="246"/>
      <c r="L61" s="246"/>
      <c r="M61" s="246"/>
      <c r="N61" s="246"/>
      <c r="O61" s="246"/>
      <c r="P61" s="246"/>
      <c r="Q61" s="246"/>
      <c r="R61" s="246"/>
    </row>
    <row r="62" customHeight="1" spans="1:18">
      <c r="A62" s="247" t="s">
        <v>44</v>
      </c>
      <c r="B62" s="247"/>
      <c r="C62" s="247"/>
      <c r="D62" s="247"/>
      <c r="E62" s="247"/>
      <c r="F62" s="247"/>
      <c r="G62" s="247"/>
      <c r="H62" s="247"/>
      <c r="I62" s="247"/>
      <c r="J62" s="248" t="s">
        <v>45</v>
      </c>
      <c r="K62" s="248"/>
      <c r="L62" s="248"/>
      <c r="M62" s="248"/>
      <c r="N62" s="248"/>
      <c r="O62" s="248"/>
      <c r="P62" s="248"/>
      <c r="Q62" s="248"/>
      <c r="R62" s="248"/>
    </row>
    <row r="63" ht="15.75" customHeight="1" spans="1:18">
      <c r="A63" s="247"/>
      <c r="B63" s="247"/>
      <c r="C63" s="247"/>
      <c r="D63" s="247"/>
      <c r="E63" s="247"/>
      <c r="F63" s="247"/>
      <c r="G63" s="247"/>
      <c r="H63" s="247"/>
      <c r="I63" s="247"/>
      <c r="J63" s="248"/>
      <c r="K63" s="248"/>
      <c r="L63" s="248"/>
      <c r="M63" s="248"/>
      <c r="N63" s="248"/>
      <c r="O63" s="248"/>
      <c r="P63" s="248"/>
      <c r="Q63" s="248"/>
      <c r="R63" s="248"/>
    </row>
    <row r="64" ht="15.75" customHeight="1" spans="1:18">
      <c r="A64" s="247"/>
      <c r="B64" s="247"/>
      <c r="C64" s="247"/>
      <c r="D64" s="247"/>
      <c r="E64" s="247"/>
      <c r="F64" s="247"/>
      <c r="G64" s="247"/>
      <c r="H64" s="247"/>
      <c r="I64" s="247"/>
      <c r="J64" s="248"/>
      <c r="K64" s="248"/>
      <c r="L64" s="248"/>
      <c r="M64" s="248"/>
      <c r="N64" s="248"/>
      <c r="O64" s="248"/>
      <c r="P64" s="248"/>
      <c r="Q64" s="248"/>
      <c r="R64" s="248"/>
    </row>
    <row r="65" ht="15.75" customHeight="1" spans="1:18">
      <c r="A65" s="247"/>
      <c r="B65" s="247"/>
      <c r="C65" s="247"/>
      <c r="D65" s="247"/>
      <c r="E65" s="247"/>
      <c r="F65" s="247"/>
      <c r="G65" s="247"/>
      <c r="H65" s="247"/>
      <c r="I65" s="247"/>
      <c r="J65" s="248"/>
      <c r="K65" s="248"/>
      <c r="L65" s="248"/>
      <c r="M65" s="248"/>
      <c r="N65" s="248"/>
      <c r="O65" s="248"/>
      <c r="P65" s="248"/>
      <c r="Q65" s="248"/>
      <c r="R65" s="248"/>
    </row>
    <row r="66" ht="15.75" customHeight="1" spans="1:18">
      <c r="A66" s="247"/>
      <c r="B66" s="247"/>
      <c r="C66" s="247"/>
      <c r="D66" s="247"/>
      <c r="E66" s="247"/>
      <c r="F66" s="247"/>
      <c r="G66" s="247"/>
      <c r="H66" s="247"/>
      <c r="I66" s="247"/>
      <c r="J66" s="248"/>
      <c r="K66" s="248"/>
      <c r="L66" s="248"/>
      <c r="M66" s="248"/>
      <c r="N66" s="248"/>
      <c r="O66" s="248"/>
      <c r="P66" s="248"/>
      <c r="Q66" s="248"/>
      <c r="R66" s="248"/>
    </row>
    <row r="67" ht="15.75" customHeight="1" spans="1:18">
      <c r="A67" s="247"/>
      <c r="B67" s="247"/>
      <c r="C67" s="247"/>
      <c r="D67" s="247"/>
      <c r="E67" s="247"/>
      <c r="F67" s="247"/>
      <c r="G67" s="247"/>
      <c r="H67" s="247"/>
      <c r="I67" s="247"/>
      <c r="J67" s="248"/>
      <c r="K67" s="248"/>
      <c r="L67" s="248"/>
      <c r="M67" s="248"/>
      <c r="N67" s="248"/>
      <c r="O67" s="248"/>
      <c r="P67" s="248"/>
      <c r="Q67" s="248"/>
      <c r="R67" s="248"/>
    </row>
    <row r="68" ht="15.75" customHeight="1" spans="1:18">
      <c r="A68" s="247"/>
      <c r="B68" s="247"/>
      <c r="C68" s="247"/>
      <c r="D68" s="247"/>
      <c r="E68" s="247"/>
      <c r="F68" s="247"/>
      <c r="G68" s="247"/>
      <c r="H68" s="247"/>
      <c r="I68" s="247"/>
      <c r="J68" s="248"/>
      <c r="K68" s="248"/>
      <c r="L68" s="248"/>
      <c r="M68" s="248"/>
      <c r="N68" s="248"/>
      <c r="O68" s="248"/>
      <c r="P68" s="248"/>
      <c r="Q68" s="248"/>
      <c r="R68" s="248"/>
    </row>
    <row r="69" ht="15.75" customHeight="1" spans="1:18">
      <c r="A69" s="247"/>
      <c r="B69" s="247"/>
      <c r="C69" s="247"/>
      <c r="D69" s="247"/>
      <c r="E69" s="247"/>
      <c r="F69" s="247"/>
      <c r="G69" s="247"/>
      <c r="H69" s="247"/>
      <c r="I69" s="247"/>
      <c r="J69" s="248"/>
      <c r="K69" s="248"/>
      <c r="L69" s="248"/>
      <c r="M69" s="248"/>
      <c r="N69" s="248"/>
      <c r="O69" s="248"/>
      <c r="P69" s="248"/>
      <c r="Q69" s="248"/>
      <c r="R69" s="248"/>
    </row>
    <row r="70" ht="15.75" customHeight="1" spans="1:18">
      <c r="A70" s="247"/>
      <c r="B70" s="247"/>
      <c r="C70" s="247"/>
      <c r="D70" s="247"/>
      <c r="E70" s="247"/>
      <c r="F70" s="247"/>
      <c r="G70" s="247"/>
      <c r="H70" s="247"/>
      <c r="I70" s="247"/>
      <c r="J70" s="248"/>
      <c r="K70" s="248"/>
      <c r="L70" s="248"/>
      <c r="M70" s="248"/>
      <c r="N70" s="248"/>
      <c r="O70" s="248"/>
      <c r="P70" s="248"/>
      <c r="Q70" s="248"/>
      <c r="R70" s="248"/>
    </row>
    <row r="71" ht="15.75" customHeight="1" spans="1:18">
      <c r="A71" s="247"/>
      <c r="B71" s="247"/>
      <c r="C71" s="247"/>
      <c r="D71" s="247"/>
      <c r="E71" s="247"/>
      <c r="F71" s="247"/>
      <c r="G71" s="247"/>
      <c r="H71" s="247"/>
      <c r="I71" s="247"/>
      <c r="J71" s="248"/>
      <c r="K71" s="248"/>
      <c r="L71" s="248"/>
      <c r="M71" s="248"/>
      <c r="N71" s="248"/>
      <c r="O71" s="248"/>
      <c r="P71" s="248"/>
      <c r="Q71" s="248"/>
      <c r="R71" s="248"/>
    </row>
    <row r="72" ht="15.75" customHeight="1" spans="1:18">
      <c r="A72" s="247"/>
      <c r="B72" s="247"/>
      <c r="C72" s="247"/>
      <c r="D72" s="247"/>
      <c r="E72" s="247"/>
      <c r="F72" s="247"/>
      <c r="G72" s="247"/>
      <c r="H72" s="247"/>
      <c r="I72" s="247"/>
      <c r="J72" s="248"/>
      <c r="K72" s="248"/>
      <c r="L72" s="248"/>
      <c r="M72" s="248"/>
      <c r="N72" s="248"/>
      <c r="O72" s="248"/>
      <c r="P72" s="248"/>
      <c r="Q72" s="248"/>
      <c r="R72" s="248"/>
    </row>
    <row r="73" ht="15.75" customHeight="1" spans="1:18">
      <c r="A73" s="247"/>
      <c r="B73" s="247"/>
      <c r="C73" s="247"/>
      <c r="D73" s="247"/>
      <c r="E73" s="247"/>
      <c r="F73" s="247"/>
      <c r="G73" s="247"/>
      <c r="H73" s="247"/>
      <c r="I73" s="247"/>
      <c r="J73" s="248"/>
      <c r="K73" s="248"/>
      <c r="L73" s="248"/>
      <c r="M73" s="248"/>
      <c r="N73" s="248"/>
      <c r="O73" s="248"/>
      <c r="P73" s="248"/>
      <c r="Q73" s="248"/>
      <c r="R73" s="248"/>
    </row>
    <row r="74" ht="15.75" customHeight="1" spans="1:18">
      <c r="A74" s="247"/>
      <c r="B74" s="247"/>
      <c r="C74" s="247"/>
      <c r="D74" s="247"/>
      <c r="E74" s="247"/>
      <c r="F74" s="247"/>
      <c r="G74" s="247"/>
      <c r="H74" s="247"/>
      <c r="I74" s="247"/>
      <c r="J74" s="248"/>
      <c r="K74" s="248"/>
      <c r="L74" s="248"/>
      <c r="M74" s="248"/>
      <c r="N74" s="248"/>
      <c r="O74" s="248"/>
      <c r="P74" s="248"/>
      <c r="Q74" s="248"/>
      <c r="R74" s="248"/>
    </row>
    <row r="75" ht="15.75" customHeight="1" spans="1:18">
      <c r="A75" s="247"/>
      <c r="B75" s="247"/>
      <c r="C75" s="247"/>
      <c r="D75" s="247"/>
      <c r="E75" s="247"/>
      <c r="F75" s="247"/>
      <c r="G75" s="247"/>
      <c r="H75" s="247"/>
      <c r="I75" s="247"/>
      <c r="J75" s="248"/>
      <c r="K75" s="248"/>
      <c r="L75" s="248"/>
      <c r="M75" s="248"/>
      <c r="N75" s="248"/>
      <c r="O75" s="248"/>
      <c r="P75" s="248"/>
      <c r="Q75" s="248"/>
      <c r="R75" s="248"/>
    </row>
    <row r="76" ht="15.75" customHeight="1" spans="1:18">
      <c r="A76" s="247"/>
      <c r="B76" s="247"/>
      <c r="C76" s="247"/>
      <c r="D76" s="247"/>
      <c r="E76" s="247"/>
      <c r="F76" s="247"/>
      <c r="G76" s="247"/>
      <c r="H76" s="247"/>
      <c r="I76" s="247"/>
      <c r="J76" s="248"/>
      <c r="K76" s="248"/>
      <c r="L76" s="248"/>
      <c r="M76" s="248"/>
      <c r="N76" s="248"/>
      <c r="O76" s="248"/>
      <c r="P76" s="248"/>
      <c r="Q76" s="248"/>
      <c r="R76" s="248"/>
    </row>
    <row r="77" ht="15.75" customHeight="1" spans="1:18">
      <c r="A77" s="247"/>
      <c r="B77" s="247"/>
      <c r="C77" s="247"/>
      <c r="D77" s="247"/>
      <c r="E77" s="247"/>
      <c r="F77" s="247"/>
      <c r="G77" s="247"/>
      <c r="H77" s="247"/>
      <c r="I77" s="247"/>
      <c r="J77" s="248"/>
      <c r="K77" s="248"/>
      <c r="L77" s="248"/>
      <c r="M77" s="248"/>
      <c r="N77" s="248"/>
      <c r="O77" s="248"/>
      <c r="P77" s="248"/>
      <c r="Q77" s="248"/>
      <c r="R77" s="248"/>
    </row>
    <row r="78" customHeight="1" spans="1:18">
      <c r="A78" s="247"/>
      <c r="B78" s="247"/>
      <c r="C78" s="247"/>
      <c r="D78" s="247"/>
      <c r="E78" s="247"/>
      <c r="F78" s="247"/>
      <c r="G78" s="247"/>
      <c r="H78" s="247"/>
      <c r="I78" s="247"/>
      <c r="J78" s="248"/>
      <c r="K78" s="248"/>
      <c r="L78" s="248"/>
      <c r="M78" s="248"/>
      <c r="N78" s="248"/>
      <c r="O78" s="248"/>
      <c r="P78" s="248"/>
      <c r="Q78" s="248"/>
      <c r="R78" s="248"/>
    </row>
  </sheetData>
  <mergeCells count="59">
    <mergeCell ref="A1:R1"/>
    <mergeCell ref="S1:AJ1"/>
    <mergeCell ref="A2:R2"/>
    <mergeCell ref="S2:AJ2"/>
    <mergeCell ref="A3:R3"/>
    <mergeCell ref="A5:C5"/>
    <mergeCell ref="D5:F5"/>
    <mergeCell ref="G5:I5"/>
    <mergeCell ref="J5:L5"/>
    <mergeCell ref="M5:O5"/>
    <mergeCell ref="P5:R5"/>
    <mergeCell ref="A6:C6"/>
    <mergeCell ref="D6:F6"/>
    <mergeCell ref="G6:I6"/>
    <mergeCell ref="J6:L6"/>
    <mergeCell ref="M6:O6"/>
    <mergeCell ref="P6:R6"/>
    <mergeCell ref="S6:U6"/>
    <mergeCell ref="A7:C7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0:C10"/>
    <mergeCell ref="D10:F10"/>
    <mergeCell ref="G10:I10"/>
    <mergeCell ref="J10:L10"/>
    <mergeCell ref="M10:O10"/>
    <mergeCell ref="P10:R10"/>
    <mergeCell ref="A11:C11"/>
    <mergeCell ref="D11:F11"/>
    <mergeCell ref="G11:I11"/>
    <mergeCell ref="J11:L11"/>
    <mergeCell ref="M11:O11"/>
    <mergeCell ref="P11:R11"/>
    <mergeCell ref="A12:C12"/>
    <mergeCell ref="D12:F12"/>
    <mergeCell ref="G12:I12"/>
    <mergeCell ref="J12:L12"/>
    <mergeCell ref="M12:O12"/>
    <mergeCell ref="P12:R12"/>
    <mergeCell ref="A14:R14"/>
    <mergeCell ref="B16:J16"/>
    <mergeCell ref="A27:R27"/>
    <mergeCell ref="A62:I78"/>
    <mergeCell ref="J62:R78"/>
    <mergeCell ref="A28:I44"/>
    <mergeCell ref="J28:R44"/>
    <mergeCell ref="A45:I61"/>
    <mergeCell ref="J45:R6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tabSelected="1" zoomScale="130" zoomScaleNormal="130" topLeftCell="A19" workbookViewId="0">
      <selection activeCell="A35" sqref="A35"/>
    </sheetView>
  </sheetViews>
  <sheetFormatPr defaultColWidth="8.71428571428571" defaultRowHeight="15"/>
  <cols>
    <col min="1" max="1" width="13" style="1" customWidth="1"/>
    <col min="2" max="2" width="14" style="1" customWidth="1"/>
    <col min="3" max="3" width="74.4285714285714" style="1" customWidth="1"/>
    <col min="4" max="4" width="99.1428571428571" style="1" customWidth="1"/>
    <col min="5" max="5" width="19.5714285714286" style="1" customWidth="1"/>
    <col min="6" max="6" width="14" style="1" customWidth="1"/>
    <col min="7" max="7" width="24.4285714285714" style="1" customWidth="1"/>
    <col min="8" max="8" width="16" style="1" customWidth="1"/>
    <col min="9" max="9" width="13" style="1" customWidth="1"/>
    <col min="10" max="10" width="17.4285714285714" style="1" customWidth="1"/>
    <col min="11" max="12" width="10" style="1" customWidth="1"/>
    <col min="13" max="13" width="14" style="1" customWidth="1"/>
    <col min="14" max="14" width="16" style="1" customWidth="1"/>
    <col min="15" max="15" width="24.2857142857143" style="1" customWidth="1"/>
    <col min="16" max="16" width="13" style="1" customWidth="1"/>
    <col min="17" max="17" width="14" style="1" customWidth="1"/>
    <col min="18" max="19" width="12" style="1" customWidth="1"/>
    <col min="20" max="20" width="14" style="1" customWidth="1"/>
    <col min="21" max="21" width="21" style="1" customWidth="1"/>
    <col min="22" max="22" width="111.428571428571" style="156" customWidth="1"/>
    <col min="27" max="27" width="12.4285714285714" style="1" customWidth="1"/>
  </cols>
  <sheetData>
    <row r="1" ht="37.5" customHeight="1" spans="1:27">
      <c r="A1" s="157" t="s">
        <v>46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</row>
    <row r="2" ht="31.5" customHeight="1" spans="1:27">
      <c r="A2" s="145" t="s">
        <v>47</v>
      </c>
      <c r="B2" s="145" t="s">
        <v>48</v>
      </c>
      <c r="C2" s="145" t="s">
        <v>31</v>
      </c>
      <c r="D2" s="145" t="s">
        <v>30</v>
      </c>
      <c r="E2" s="145" t="s">
        <v>36</v>
      </c>
      <c r="F2" s="145" t="s">
        <v>32</v>
      </c>
      <c r="G2" s="145" t="s">
        <v>49</v>
      </c>
      <c r="H2" s="145" t="s">
        <v>33</v>
      </c>
      <c r="I2" s="145" t="s">
        <v>34</v>
      </c>
      <c r="J2" s="145" t="s">
        <v>50</v>
      </c>
      <c r="K2" s="145" t="s">
        <v>51</v>
      </c>
      <c r="L2" s="145" t="s">
        <v>52</v>
      </c>
      <c r="M2" s="145" t="s">
        <v>53</v>
      </c>
      <c r="N2" s="145" t="s">
        <v>37</v>
      </c>
      <c r="O2" s="145" t="s">
        <v>54</v>
      </c>
      <c r="P2" s="145" t="s">
        <v>55</v>
      </c>
      <c r="Q2" s="145" t="s">
        <v>56</v>
      </c>
      <c r="R2" s="145" t="s">
        <v>57</v>
      </c>
      <c r="S2" s="145" t="s">
        <v>58</v>
      </c>
      <c r="T2" s="145" t="s">
        <v>59</v>
      </c>
      <c r="U2" s="145" t="s">
        <v>60</v>
      </c>
      <c r="V2" s="158" t="s">
        <v>61</v>
      </c>
    </row>
    <row r="3" ht="21.75" customHeight="1" spans="1:27">
      <c r="A3" s="159">
        <v>46180</v>
      </c>
      <c r="B3" s="160">
        <v>13023463</v>
      </c>
      <c r="C3" s="161" t="s">
        <v>62</v>
      </c>
      <c r="D3" s="162" t="s">
        <v>63</v>
      </c>
      <c r="E3" s="163" t="s">
        <v>64</v>
      </c>
      <c r="F3" s="160" t="s">
        <v>65</v>
      </c>
      <c r="G3" s="160" t="s">
        <v>66</v>
      </c>
      <c r="H3" s="164">
        <v>4091665</v>
      </c>
      <c r="I3" s="159">
        <v>46196</v>
      </c>
      <c r="J3" s="165">
        <v>0.416666666666667</v>
      </c>
      <c r="K3" s="166">
        <f ca="1">IF(I3="","",I3-TODAY())</f>
        <v>3</v>
      </c>
      <c r="L3" s="29" t="str">
        <f ca="1">IF(I3="","",IF(I3-TODAY()&lt;=3,"High",IF(I3-TODAY()&lt;=7,"Medium","Low")))</f>
        <v>High</v>
      </c>
      <c r="M3" s="160"/>
      <c r="N3" s="160" t="s">
        <v>15</v>
      </c>
      <c r="O3" s="160" t="s">
        <v>67</v>
      </c>
      <c r="P3" s="159"/>
      <c r="Q3" s="164"/>
      <c r="R3" s="160" t="s">
        <v>15</v>
      </c>
      <c r="S3" s="160">
        <f ca="1">IF(H3="","",IFERROR(IF(H3&gt;5000000,30,IF(H3&gt;=1000000,20,10))+IF(I3-TODAY()&gt;14,30,IF(I3-TODAY()&gt;=7,20,10))+IF(R3="Won",40,IF(R3="Lost",10,20)),""))</f>
        <v>50</v>
      </c>
      <c r="T3" s="160" t="str">
        <f ca="1">IF(OR(H3="",I3=""),"",IF(AND(H3&gt;5000000,I3-TODAY()&gt;10),"🚨 FLAG","—"))</f>
        <v>—</v>
      </c>
      <c r="U3" s="160" t="str">
        <f ca="1">IF(S3="","",IF(S3&gt;=70,"✅ Highly Recommended",IF(S3&gt;=50,"🔶 Consider","❌ Low Priority")))</f>
        <v>🔶 Consider</v>
      </c>
      <c r="V3" s="167" t="s">
        <v>68</v>
      </c>
    </row>
    <row r="4" ht="21.75" customHeight="1" spans="1:27">
      <c r="A4" s="43">
        <v>46180</v>
      </c>
      <c r="B4" s="29">
        <v>13037704</v>
      </c>
      <c r="C4" s="29" t="s">
        <v>69</v>
      </c>
      <c r="D4" s="29" t="s">
        <v>70</v>
      </c>
      <c r="E4" s="163" t="s">
        <v>71</v>
      </c>
      <c r="F4" s="29" t="s">
        <v>65</v>
      </c>
      <c r="G4" s="29" t="s">
        <v>72</v>
      </c>
      <c r="H4" s="42">
        <v>371200</v>
      </c>
      <c r="I4" s="43">
        <v>46183</v>
      </c>
      <c r="J4" s="165">
        <v>0.333333333333333</v>
      </c>
      <c r="K4" s="168">
        <f ca="1">IF(I10="","",I10-TODAY())</f>
        <v>-12</v>
      </c>
      <c r="L4" s="29" t="s">
        <v>73</v>
      </c>
      <c r="M4" s="29"/>
      <c r="N4" s="29" t="s">
        <v>25</v>
      </c>
      <c r="O4" s="169" t="s">
        <v>74</v>
      </c>
      <c r="P4" s="170"/>
      <c r="Q4" s="42"/>
      <c r="R4" s="29" t="s">
        <v>25</v>
      </c>
      <c r="S4" s="29">
        <f ca="1">IF(H10="","",IFERROR(IF(H10&gt;5000000,30,IF(H10&gt;=1000000,20,10))+IF(I10-TODAY()&gt;14,30,IF(I10-TODAY()&gt;=7,20,10))+IF(R10="Won",40,IF(R10="Lost",10,20)),""))</f>
        <v>40</v>
      </c>
      <c r="T4" s="29" t="str">
        <f ca="1">IF(OR(H10="",I10=""),"",IF(AND(H10&gt;5000000,I10-TODAY()&gt;10),"🚨 FLAG","—"))</f>
        <v>—</v>
      </c>
      <c r="U4" s="29" t="str">
        <f ca="1">IF(S10="","",IF(S10&gt;=70,"✅ Highly Recommended",IF(S10&gt;=50,"🔶 Consider","❌ Low Priority")))</f>
        <v>❌ Low Priority</v>
      </c>
      <c r="V4" s="171"/>
      <c r="X4" s="1"/>
    </row>
    <row r="5" ht="21.75" customHeight="1" spans="1:27">
      <c r="A5" s="159">
        <v>46180</v>
      </c>
      <c r="B5" s="160">
        <v>13037984</v>
      </c>
      <c r="C5" s="160" t="s">
        <v>69</v>
      </c>
      <c r="D5" s="160" t="s">
        <v>75</v>
      </c>
      <c r="E5" s="163" t="s">
        <v>71</v>
      </c>
      <c r="F5" s="160" t="s">
        <v>65</v>
      </c>
      <c r="G5" s="160" t="s">
        <v>72</v>
      </c>
      <c r="H5" s="164">
        <v>349756</v>
      </c>
      <c r="I5" s="159">
        <v>46181</v>
      </c>
      <c r="J5" s="165">
        <v>0.333333333333333</v>
      </c>
      <c r="K5" s="166">
        <f ca="1">IF(I11="","",I11-TODAY())</f>
        <v>-11</v>
      </c>
      <c r="L5" s="29" t="s">
        <v>73</v>
      </c>
      <c r="M5" s="160"/>
      <c r="N5" s="160" t="s">
        <v>25</v>
      </c>
      <c r="O5" s="169" t="s">
        <v>74</v>
      </c>
      <c r="P5" s="170"/>
      <c r="Q5" s="164"/>
      <c r="R5" s="160" t="s">
        <v>25</v>
      </c>
      <c r="S5" s="160">
        <f ca="1">IF(H11="","",IFERROR(IF(H11&gt;5000000,30,IF(H11&gt;=1000000,20,10))+IF(I11-TODAY()&gt;14,30,IF(I11-TODAY()&gt;=7,20,10))+IF(R11="Won",40,IF(R11="Lost",10,20)),""))</f>
        <v>40</v>
      </c>
      <c r="T5" s="160" t="str">
        <f ca="1">IF(OR(H11="",I11=""),"",IF(AND(H11&gt;5000000,I11-TODAY()&gt;10),"🚨 FLAG","—"))</f>
        <v>—</v>
      </c>
      <c r="U5" s="160" t="str">
        <f ca="1">IF(S11="","",IF(S11&gt;=70,"✅ Highly Recommended",IF(S11&gt;=50,"🔶 Consider","❌ Low Priority")))</f>
        <v>❌ Low Priority</v>
      </c>
      <c r="V5" s="172"/>
      <c r="X5" s="1"/>
    </row>
    <row r="6" ht="21.75" customHeight="1" spans="1:27">
      <c r="A6" s="43">
        <v>46180</v>
      </c>
      <c r="B6" s="29">
        <v>13037836</v>
      </c>
      <c r="C6" s="29" t="s">
        <v>69</v>
      </c>
      <c r="D6" s="29" t="s">
        <v>76</v>
      </c>
      <c r="E6" s="163" t="s">
        <v>71</v>
      </c>
      <c r="F6" s="29" t="s">
        <v>65</v>
      </c>
      <c r="G6" s="29" t="s">
        <v>72</v>
      </c>
      <c r="H6" s="42">
        <v>407930</v>
      </c>
      <c r="I6" s="43">
        <v>46181</v>
      </c>
      <c r="J6" s="165">
        <v>0.333333333333333</v>
      </c>
      <c r="K6" s="168">
        <f ca="1">IF(I12="","",I12-TODAY())</f>
        <v>-11</v>
      </c>
      <c r="L6" s="29" t="s">
        <v>73</v>
      </c>
      <c r="M6" s="29"/>
      <c r="N6" s="29" t="s">
        <v>25</v>
      </c>
      <c r="O6" s="29" t="s">
        <v>74</v>
      </c>
      <c r="P6" s="170"/>
      <c r="Q6" s="42"/>
      <c r="R6" s="29" t="s">
        <v>25</v>
      </c>
      <c r="S6" s="29">
        <f ca="1">IF(H12="","",IFERROR(IF(H12&gt;5000000,30,IF(H12&gt;=1000000,20,10))+IF(I12-TODAY()&gt;14,30,IF(I12-TODAY()&gt;=7,20,10))+IF(R12="Won",40,IF(R12="Lost",10,20)),""))</f>
        <v>40</v>
      </c>
      <c r="T6" s="29" t="str">
        <f ca="1">IF(OR(H12="",I12=""),"",IF(AND(H12&gt;5000000,I12-TODAY()&gt;10),"🚨 FLAG","—"))</f>
        <v>—</v>
      </c>
      <c r="U6" s="29" t="str">
        <f ca="1">IF(S12="","",IF(S12&gt;=70,"✅ Highly Recommended",IF(S12&gt;=50,"🔶 Consider","❌ Low Priority")))</f>
        <v>❌ Low Priority</v>
      </c>
      <c r="V6" s="171"/>
      <c r="X6" s="1"/>
    </row>
    <row r="7" ht="21.75" customHeight="1" spans="1:27">
      <c r="A7" s="43">
        <v>46180</v>
      </c>
      <c r="B7" s="160">
        <v>13032498</v>
      </c>
      <c r="C7" s="160" t="s">
        <v>77</v>
      </c>
      <c r="D7" s="160" t="s">
        <v>78</v>
      </c>
      <c r="E7" s="163" t="s">
        <v>64</v>
      </c>
      <c r="F7" s="160" t="s">
        <v>65</v>
      </c>
      <c r="G7" s="160" t="s">
        <v>72</v>
      </c>
      <c r="H7" s="164">
        <v>386406.47</v>
      </c>
      <c r="I7" s="43">
        <v>46184</v>
      </c>
      <c r="J7" s="165">
        <v>0.333333333333333</v>
      </c>
      <c r="K7" s="166">
        <f ca="1">IF(I13="","",I13-TODAY())</f>
        <v>-11</v>
      </c>
      <c r="L7" s="160" t="str">
        <f ca="1">IF(I13="","",IF(I13-TODAY()&lt;=3,"High",IF(I13-TODAY()&lt;=7,"Medium","Low")))</f>
        <v>High</v>
      </c>
      <c r="M7" s="160"/>
      <c r="N7" s="160" t="s">
        <v>79</v>
      </c>
      <c r="O7" s="160" t="s">
        <v>80</v>
      </c>
      <c r="P7" s="159"/>
      <c r="Q7" s="164"/>
      <c r="R7" s="160" t="s">
        <v>15</v>
      </c>
      <c r="S7" s="160">
        <f ca="1">IF(H13="","",IFERROR(IF(H13&gt;5000000,30,IF(H13&gt;=1000000,20,10))+IF(I13-TODAY()&gt;14,30,IF(I13-TODAY()&gt;=7,20,10))+IF(R13="Won",40,IF(R13="Lost",10,20)),""))</f>
        <v>40</v>
      </c>
      <c r="T7" s="160" t="str">
        <f ca="1">IF(OR(H13="",I13=""),"",IF(AND(H13&gt;5000000,I13-TODAY()&gt;10),"🚨 FLAG","—"))</f>
        <v>—</v>
      </c>
      <c r="U7" s="160" t="str">
        <f ca="1">IF(S13="","",IF(S13&gt;=70,"✅ Highly Recommended",IF(S13&gt;=50,"🔶 Consider","❌ Low Priority")))</f>
        <v>🔶 Consider</v>
      </c>
      <c r="V7" s="172"/>
      <c r="W7" s="173"/>
      <c r="X7" s="173"/>
      <c r="Y7" s="173"/>
      <c r="AA7" s="174"/>
    </row>
    <row r="8" ht="19.5" customHeight="1" spans="1:27">
      <c r="A8" s="43">
        <v>46180</v>
      </c>
      <c r="B8" s="29">
        <v>12994917</v>
      </c>
      <c r="C8" s="29" t="s">
        <v>62</v>
      </c>
      <c r="D8" s="29" t="s">
        <v>81</v>
      </c>
      <c r="E8" s="163" t="s">
        <v>64</v>
      </c>
      <c r="F8" s="29" t="s">
        <v>65</v>
      </c>
      <c r="G8" s="29" t="s">
        <v>66</v>
      </c>
      <c r="H8" s="42">
        <v>2400000</v>
      </c>
      <c r="I8" s="43">
        <v>46183</v>
      </c>
      <c r="J8" s="165">
        <v>0.416666666666667</v>
      </c>
      <c r="K8" s="168">
        <f ca="1">IF(I14="","",I14-TODAY())</f>
        <v>-11</v>
      </c>
      <c r="L8" s="29" t="str">
        <f ca="1">IF(I14="","",IF(I14-TODAY()&lt;=3,"High",IF(I14-TODAY()&lt;=7,"Medium","Low")))</f>
        <v>High</v>
      </c>
      <c r="M8" s="29"/>
      <c r="N8" s="29" t="s">
        <v>22</v>
      </c>
      <c r="O8" s="29" t="s">
        <v>22</v>
      </c>
      <c r="P8" s="43"/>
      <c r="Q8" s="42"/>
      <c r="R8" s="29" t="s">
        <v>15</v>
      </c>
      <c r="S8" s="29">
        <f ca="1">IF(H14="","",IFERROR(IF(H14&gt;5000000,30,IF(H14&gt;=1000000,20,10))+IF(I14-TODAY()&gt;14,30,IF(I14-TODAY()&gt;=7,20,10))+IF(R14="Won",40,IF(R14="Lost",10,20)),""))</f>
        <v>40</v>
      </c>
      <c r="T8" s="29" t="str">
        <f ca="1">IF(OR(H14="",I14=""),"",IF(AND(H14&gt;5000000,I14-TODAY()&gt;10),"🚨 FLAG","—"))</f>
        <v>—</v>
      </c>
      <c r="U8" s="29" t="str">
        <f ca="1">IF(S14="","",IF(S14&gt;=70,"✅ Highly Recommended",IF(S14&gt;=50,"🔶 Consider","❌ Low Priority")))</f>
        <v>❌ Low Priority</v>
      </c>
      <c r="V8" s="171"/>
      <c r="W8" s="175"/>
      <c r="X8" s="173"/>
      <c r="Y8" s="173"/>
    </row>
    <row r="9" ht="19.5" customHeight="1" spans="1:27">
      <c r="A9" s="43">
        <v>46179</v>
      </c>
      <c r="B9" s="160">
        <v>13029937</v>
      </c>
      <c r="C9" s="160" t="s">
        <v>82</v>
      </c>
      <c r="D9" s="160" t="s">
        <v>83</v>
      </c>
      <c r="E9" s="163" t="s">
        <v>64</v>
      </c>
      <c r="F9" s="160" t="s">
        <v>65</v>
      </c>
      <c r="G9" s="160" t="s">
        <v>72</v>
      </c>
      <c r="H9" s="164">
        <v>920450</v>
      </c>
      <c r="I9" s="159">
        <v>46181</v>
      </c>
      <c r="J9" s="165">
        <v>0.291666666666667</v>
      </c>
      <c r="K9" s="166">
        <f ca="1" t="shared" ref="K9:K14" si="0">IF(I4="","",I4-TODAY())</f>
        <v>-10</v>
      </c>
      <c r="L9" s="160" t="str">
        <f ca="1" t="shared" ref="L9:L11" si="1">IF(I4="","",IF(I4-TODAY()&lt;=3,"High",IF(I4-TODAY()&lt;=7,"Medium","Low")))</f>
        <v>High</v>
      </c>
      <c r="M9" s="160" t="s">
        <v>84</v>
      </c>
      <c r="N9" s="160" t="s">
        <v>21</v>
      </c>
      <c r="O9" s="160" t="s">
        <v>85</v>
      </c>
      <c r="P9" s="159">
        <v>46181</v>
      </c>
      <c r="Q9" s="164"/>
      <c r="R9" s="160" t="s">
        <v>15</v>
      </c>
      <c r="S9" s="160">
        <f ca="1" t="shared" ref="S9:S14" si="2">IF(H4="","",IFERROR(IF(H4&gt;5000000,30,IF(H4&gt;=1000000,20,10))+IF(I4-TODAY()&gt;14,30,IF(I4-TODAY()&gt;=7,20,10))+IF(R4="Won",40,IF(R4="Lost",10,20)),""))</f>
        <v>40</v>
      </c>
      <c r="T9" s="160" t="str">
        <f ca="1" t="shared" ref="T9:T14" si="3">IF(OR(H4="",I4=""),"",IF(AND(H4&gt;5000000,I4-TODAY()&gt;10),"🚨 FLAG","—"))</f>
        <v>—</v>
      </c>
      <c r="U9" s="160" t="str">
        <f ca="1" t="shared" ref="U9:U14" si="4">IF(S4="","",IF(S4&gt;=70,"✅ Highly Recommended",IF(S4&gt;=50,"🔶 Consider","❌ Low Priority")))</f>
        <v>❌ Low Priority</v>
      </c>
      <c r="V9" s="172"/>
      <c r="W9" s="175"/>
      <c r="X9" s="173"/>
      <c r="Y9" s="173"/>
    </row>
    <row r="10" ht="19.5" customHeight="1" spans="1:27">
      <c r="A10" s="176">
        <v>46179</v>
      </c>
      <c r="B10" s="177">
        <v>13025115</v>
      </c>
      <c r="C10" s="177" t="s">
        <v>82</v>
      </c>
      <c r="D10" s="178" t="s">
        <v>86</v>
      </c>
      <c r="E10" s="163" t="s">
        <v>64</v>
      </c>
      <c r="F10" s="177" t="s">
        <v>65</v>
      </c>
      <c r="G10" s="177" t="s">
        <v>72</v>
      </c>
      <c r="H10" s="179">
        <v>209927</v>
      </c>
      <c r="I10" s="176">
        <v>46181</v>
      </c>
      <c r="J10" s="180">
        <v>0.333333333333333</v>
      </c>
      <c r="K10" s="181">
        <f ca="1" t="shared" si="0"/>
        <v>-12</v>
      </c>
      <c r="L10" s="177" t="str">
        <f ca="1" t="shared" si="1"/>
        <v>High</v>
      </c>
      <c r="M10" s="177" t="s">
        <v>84</v>
      </c>
      <c r="N10" s="177" t="s">
        <v>21</v>
      </c>
      <c r="O10" s="177" t="s">
        <v>85</v>
      </c>
      <c r="P10" s="176">
        <v>46181</v>
      </c>
      <c r="Q10" s="179"/>
      <c r="R10" s="177" t="s">
        <v>15</v>
      </c>
      <c r="S10" s="177">
        <f ca="1" t="shared" si="2"/>
        <v>40</v>
      </c>
      <c r="T10" s="177" t="str">
        <f ca="1" t="shared" si="3"/>
        <v>—</v>
      </c>
      <c r="U10" s="177" t="str">
        <f ca="1" t="shared" si="4"/>
        <v>❌ Low Priority</v>
      </c>
      <c r="V10" s="182"/>
      <c r="W10" s="175"/>
      <c r="X10" s="173"/>
      <c r="Y10" s="173"/>
    </row>
    <row r="11" ht="19.5" customHeight="1" spans="1:27">
      <c r="A11" s="176">
        <v>46179</v>
      </c>
      <c r="B11" s="177">
        <v>13035898</v>
      </c>
      <c r="C11" s="177" t="s">
        <v>87</v>
      </c>
      <c r="D11" s="178" t="s">
        <v>88</v>
      </c>
      <c r="E11" s="163" t="s">
        <v>89</v>
      </c>
      <c r="F11" s="177" t="s">
        <v>65</v>
      </c>
      <c r="G11" s="177" t="s">
        <v>72</v>
      </c>
      <c r="H11" s="179">
        <v>330240</v>
      </c>
      <c r="I11" s="176">
        <v>46182</v>
      </c>
      <c r="J11" s="180">
        <v>0.625</v>
      </c>
      <c r="K11" s="181">
        <f ca="1" t="shared" si="0"/>
        <v>-12</v>
      </c>
      <c r="L11" s="177" t="str">
        <f ca="1" t="shared" si="1"/>
        <v>High</v>
      </c>
      <c r="M11" s="177" t="s">
        <v>90</v>
      </c>
      <c r="N11" s="177" t="s">
        <v>21</v>
      </c>
      <c r="O11" s="177" t="s">
        <v>85</v>
      </c>
      <c r="P11" s="176">
        <v>46181</v>
      </c>
      <c r="Q11" s="179"/>
      <c r="R11" s="177" t="s">
        <v>15</v>
      </c>
      <c r="S11" s="177">
        <f ca="1" t="shared" si="2"/>
        <v>40</v>
      </c>
      <c r="T11" s="177" t="str">
        <f ca="1" t="shared" si="3"/>
        <v>—</v>
      </c>
      <c r="U11" s="177" t="str">
        <f ca="1" t="shared" si="4"/>
        <v>❌ Low Priority</v>
      </c>
      <c r="V11" s="182"/>
      <c r="W11" s="175"/>
      <c r="X11" s="173"/>
      <c r="Y11" s="173"/>
    </row>
    <row r="12" ht="19.5" customHeight="1" spans="1:27">
      <c r="A12" s="176">
        <v>46179</v>
      </c>
      <c r="B12" s="177">
        <v>13036461</v>
      </c>
      <c r="C12" s="177" t="s">
        <v>82</v>
      </c>
      <c r="D12" s="178" t="s">
        <v>91</v>
      </c>
      <c r="E12" s="163" t="s">
        <v>92</v>
      </c>
      <c r="F12" s="177" t="s">
        <v>65</v>
      </c>
      <c r="G12" s="177" t="s">
        <v>72</v>
      </c>
      <c r="H12" s="179">
        <v>252995</v>
      </c>
      <c r="I12" s="176">
        <v>46182</v>
      </c>
      <c r="J12" s="180">
        <v>0.375</v>
      </c>
      <c r="K12" s="181">
        <f ca="1" t="shared" si="0"/>
        <v>-9</v>
      </c>
      <c r="L12" s="177" t="s">
        <v>73</v>
      </c>
      <c r="M12" s="177"/>
      <c r="N12" s="177" t="s">
        <v>25</v>
      </c>
      <c r="O12" s="177" t="s">
        <v>74</v>
      </c>
      <c r="P12" s="176"/>
      <c r="Q12" s="179"/>
      <c r="R12" s="177" t="s">
        <v>25</v>
      </c>
      <c r="S12" s="177">
        <f ca="1" t="shared" si="2"/>
        <v>40</v>
      </c>
      <c r="T12" s="177" t="str">
        <f ca="1" t="shared" si="3"/>
        <v>—</v>
      </c>
      <c r="U12" s="177" t="str">
        <f ca="1" t="shared" si="4"/>
        <v>❌ Low Priority</v>
      </c>
      <c r="V12" s="182"/>
      <c r="W12" s="175"/>
      <c r="X12" s="173"/>
      <c r="Y12" s="173"/>
    </row>
    <row r="13" ht="19.5" customHeight="1" spans="1:27">
      <c r="A13" s="43">
        <v>46179</v>
      </c>
      <c r="B13" s="160">
        <v>13036211</v>
      </c>
      <c r="C13" s="160" t="s">
        <v>93</v>
      </c>
      <c r="D13" s="178" t="s">
        <v>94</v>
      </c>
      <c r="E13" s="163" t="s">
        <v>95</v>
      </c>
      <c r="F13" s="160" t="s">
        <v>65</v>
      </c>
      <c r="G13" s="160" t="s">
        <v>72</v>
      </c>
      <c r="H13" s="164">
        <v>501104</v>
      </c>
      <c r="I13" s="159">
        <v>46182</v>
      </c>
      <c r="J13" s="165">
        <v>0.0416666666666667</v>
      </c>
      <c r="K13" s="166">
        <f ca="1" t="shared" si="0"/>
        <v>-10</v>
      </c>
      <c r="L13" s="160" t="s">
        <v>73</v>
      </c>
      <c r="M13" s="160"/>
      <c r="N13" s="160" t="s">
        <v>25</v>
      </c>
      <c r="O13" s="160" t="s">
        <v>74</v>
      </c>
      <c r="P13" s="159"/>
      <c r="Q13" s="164"/>
      <c r="R13" s="160" t="s">
        <v>25</v>
      </c>
      <c r="S13" s="160">
        <f ca="1" t="shared" si="2"/>
        <v>50</v>
      </c>
      <c r="T13" s="160" t="str">
        <f ca="1" t="shared" si="3"/>
        <v>—</v>
      </c>
      <c r="U13" s="160" t="str">
        <f ca="1" t="shared" si="4"/>
        <v>❌ Low Priority</v>
      </c>
      <c r="V13" s="172"/>
      <c r="W13" s="173"/>
      <c r="X13" s="175"/>
      <c r="Y13" s="173"/>
    </row>
    <row r="14" ht="19.5" customHeight="1" spans="1:27">
      <c r="A14" s="43">
        <v>46179</v>
      </c>
      <c r="B14" s="29">
        <v>13037476</v>
      </c>
      <c r="C14" s="161" t="s">
        <v>82</v>
      </c>
      <c r="D14" s="178" t="s">
        <v>96</v>
      </c>
      <c r="E14" s="163" t="s">
        <v>92</v>
      </c>
      <c r="F14" s="29" t="s">
        <v>65</v>
      </c>
      <c r="G14" s="29" t="s">
        <v>72</v>
      </c>
      <c r="H14" s="42">
        <v>349993</v>
      </c>
      <c r="I14" s="43">
        <v>46182</v>
      </c>
      <c r="J14" s="165">
        <v>0.375</v>
      </c>
      <c r="K14" s="168">
        <f ca="1" t="shared" si="0"/>
        <v>-12</v>
      </c>
      <c r="L14" s="29" t="s">
        <v>73</v>
      </c>
      <c r="M14" s="29"/>
      <c r="N14" s="29" t="s">
        <v>25</v>
      </c>
      <c r="O14" s="29" t="s">
        <v>74</v>
      </c>
      <c r="P14" s="43"/>
      <c r="Q14" s="42"/>
      <c r="R14" s="29" t="s">
        <v>25</v>
      </c>
      <c r="S14" s="29">
        <f ca="1" t="shared" si="2"/>
        <v>40</v>
      </c>
      <c r="T14" s="29" t="str">
        <f ca="1" t="shared" si="3"/>
        <v>—</v>
      </c>
      <c r="U14" s="29" t="str">
        <f ca="1" t="shared" si="4"/>
        <v>❌ Low Priority</v>
      </c>
      <c r="V14" s="171"/>
      <c r="X14" s="1"/>
    </row>
    <row r="15" ht="19.5" customHeight="1" spans="1:27">
      <c r="A15" s="159">
        <v>46176</v>
      </c>
      <c r="B15" s="160">
        <v>13030274</v>
      </c>
      <c r="C15" s="183" t="s">
        <v>82</v>
      </c>
      <c r="D15" s="160" t="s">
        <v>97</v>
      </c>
      <c r="E15" s="163" t="s">
        <v>95</v>
      </c>
      <c r="F15" s="160" t="s">
        <v>65</v>
      </c>
      <c r="G15" s="160" t="s">
        <v>72</v>
      </c>
      <c r="H15" s="164">
        <v>571100</v>
      </c>
      <c r="I15" s="159">
        <v>46181</v>
      </c>
      <c r="J15" s="165">
        <v>0.291666666666667</v>
      </c>
      <c r="K15" s="166">
        <f ca="1" t="shared" ref="K15:K78" si="5">IF(I15="","",I15-TODAY())</f>
        <v>-12</v>
      </c>
      <c r="L15" s="160" t="str">
        <f ca="1" t="shared" ref="L15:L78" si="6">IF(I15="","",IF(I15-TODAY()&lt;=3,"High",IF(I15-TODAY()&lt;=7,"Medium","Low")))</f>
        <v>High</v>
      </c>
      <c r="M15" s="160"/>
      <c r="N15" s="160" t="s">
        <v>21</v>
      </c>
      <c r="O15" s="160" t="s">
        <v>85</v>
      </c>
      <c r="P15" s="159">
        <v>46181</v>
      </c>
      <c r="Q15" s="164"/>
      <c r="R15" s="160" t="s">
        <v>15</v>
      </c>
      <c r="S15" s="160">
        <f ca="1" t="shared" ref="S15:S78" si="7">IF(H15="","",IFERROR(IF(H15&gt;5000000,30,IF(H15&gt;=1000000,20,10))+IF(I15-TODAY()&gt;14,30,IF(I15-TODAY()&gt;=7,20,10))+IF(R15="Won",40,IF(R15="Lost",10,20)),""))</f>
        <v>40</v>
      </c>
      <c r="T15" s="160" t="str">
        <f ca="1" t="shared" ref="T15:T78" si="8">IF(OR(H15="",I15=""),"",IF(AND(H15&gt;5000000,I15-TODAY()&gt;10),"🚨 FLAG","—"))</f>
        <v>—</v>
      </c>
      <c r="U15" s="160" t="str">
        <f ca="1" t="shared" ref="U15:U78" si="9">IF(S15="","",IF(S15&gt;=70,"✅ Highly Recommended",IF(S15&gt;=50,"🔶 Consider","❌ Low Priority")))</f>
        <v>❌ Low Priority</v>
      </c>
      <c r="V15" s="172"/>
    </row>
    <row r="16" ht="19.5" customHeight="1" spans="1:27">
      <c r="A16" s="43">
        <v>46182</v>
      </c>
      <c r="B16" s="178">
        <v>13007679</v>
      </c>
      <c r="C16" s="178" t="s">
        <v>98</v>
      </c>
      <c r="D16" s="161" t="s">
        <v>99</v>
      </c>
      <c r="E16" s="163" t="s">
        <v>71</v>
      </c>
      <c r="F16" s="29" t="s">
        <v>65</v>
      </c>
      <c r="G16" s="29" t="s">
        <v>66</v>
      </c>
      <c r="H16" s="42">
        <v>3486560</v>
      </c>
      <c r="I16" s="43">
        <v>46184</v>
      </c>
      <c r="J16" s="165">
        <v>0.375</v>
      </c>
      <c r="K16" s="168">
        <f ca="1" t="shared" si="5"/>
        <v>-9</v>
      </c>
      <c r="L16" s="29" t="str">
        <f ca="1" t="shared" si="6"/>
        <v>High</v>
      </c>
      <c r="M16" s="29"/>
      <c r="N16" s="29" t="s">
        <v>25</v>
      </c>
      <c r="O16" s="29" t="s">
        <v>67</v>
      </c>
      <c r="P16" s="43"/>
      <c r="Q16" s="42"/>
      <c r="R16" s="29" t="s">
        <v>25</v>
      </c>
      <c r="S16" s="29">
        <f ca="1" t="shared" si="7"/>
        <v>50</v>
      </c>
      <c r="T16" s="29" t="str">
        <f ca="1" t="shared" si="8"/>
        <v>—</v>
      </c>
      <c r="U16" s="29" t="str">
        <f ca="1" t="shared" si="9"/>
        <v>🔶 Consider</v>
      </c>
      <c r="V16" s="171"/>
    </row>
    <row r="17" ht="19.5" customHeight="1" spans="1:22">
      <c r="A17" s="159">
        <v>46182</v>
      </c>
      <c r="B17" s="178">
        <v>13036941</v>
      </c>
      <c r="C17" s="178" t="s">
        <v>93</v>
      </c>
      <c r="D17" s="178" t="s">
        <v>100</v>
      </c>
      <c r="E17" s="163" t="s">
        <v>101</v>
      </c>
      <c r="F17" s="160" t="s">
        <v>65</v>
      </c>
      <c r="G17" s="160" t="s">
        <v>72</v>
      </c>
      <c r="H17" s="164">
        <v>9866160</v>
      </c>
      <c r="I17" s="159">
        <v>46202</v>
      </c>
      <c r="J17" s="165">
        <v>0.375</v>
      </c>
      <c r="K17" s="166">
        <f ca="1" t="shared" si="5"/>
        <v>9</v>
      </c>
      <c r="L17" s="160" t="str">
        <f ca="1" t="shared" si="6"/>
        <v>Low</v>
      </c>
      <c r="M17" s="160"/>
      <c r="N17" s="160" t="s">
        <v>102</v>
      </c>
      <c r="O17" s="184" t="s">
        <v>103</v>
      </c>
      <c r="P17" s="159"/>
      <c r="Q17" s="164"/>
      <c r="R17" s="160" t="s">
        <v>15</v>
      </c>
      <c r="S17" s="160">
        <f ca="1" t="shared" si="7"/>
        <v>70</v>
      </c>
      <c r="T17" s="160" t="str">
        <f ca="1" t="shared" si="8"/>
        <v>—</v>
      </c>
      <c r="U17" s="160" t="str">
        <f ca="1" t="shared" si="9"/>
        <v>✅ Highly Recommended</v>
      </c>
      <c r="V17" s="185" t="s">
        <v>104</v>
      </c>
    </row>
    <row r="18" ht="19.5" customHeight="1" spans="1:22">
      <c r="A18" s="43">
        <v>46184</v>
      </c>
      <c r="B18" s="178">
        <v>13047472</v>
      </c>
      <c r="C18" s="177" t="s">
        <v>87</v>
      </c>
      <c r="D18" s="178" t="s">
        <v>88</v>
      </c>
      <c r="E18" s="163" t="s">
        <v>105</v>
      </c>
      <c r="F18" s="29" t="s">
        <v>65</v>
      </c>
      <c r="G18" s="29" t="s">
        <v>72</v>
      </c>
      <c r="H18" s="42">
        <v>1500000</v>
      </c>
      <c r="I18" s="43">
        <v>46188</v>
      </c>
      <c r="J18" s="165">
        <v>0.625</v>
      </c>
      <c r="K18" s="168">
        <f ca="1" t="shared" si="5"/>
        <v>-5</v>
      </c>
      <c r="L18" s="29" t="str">
        <f ca="1" t="shared" si="6"/>
        <v>High</v>
      </c>
      <c r="M18" s="29"/>
      <c r="N18" s="29" t="s">
        <v>102</v>
      </c>
      <c r="O18" s="29" t="s">
        <v>106</v>
      </c>
      <c r="P18" s="43"/>
      <c r="Q18" s="42"/>
      <c r="R18" s="29" t="s">
        <v>15</v>
      </c>
      <c r="S18" s="29">
        <f ca="1" t="shared" si="7"/>
        <v>50</v>
      </c>
      <c r="T18" s="29" t="str">
        <f ca="1" t="shared" si="8"/>
        <v>—</v>
      </c>
      <c r="U18" s="29" t="str">
        <f ca="1" t="shared" si="9"/>
        <v>🔶 Consider</v>
      </c>
      <c r="V18" s="186" t="s">
        <v>107</v>
      </c>
    </row>
    <row r="19" ht="19.5" customHeight="1" spans="1:22">
      <c r="A19" s="159">
        <v>46184</v>
      </c>
      <c r="B19" s="160">
        <v>13048712</v>
      </c>
      <c r="C19" s="160" t="s">
        <v>108</v>
      </c>
      <c r="D19" s="178" t="s">
        <v>109</v>
      </c>
      <c r="E19" s="163" t="s">
        <v>92</v>
      </c>
      <c r="F19" s="160" t="s">
        <v>65</v>
      </c>
      <c r="G19" s="160" t="s">
        <v>72</v>
      </c>
      <c r="H19" s="164">
        <v>1277130.98</v>
      </c>
      <c r="I19" s="159">
        <v>46188</v>
      </c>
      <c r="J19" s="165">
        <v>0.583333333333333</v>
      </c>
      <c r="K19" s="166">
        <f ca="1" t="shared" si="5"/>
        <v>-5</v>
      </c>
      <c r="L19" s="160" t="str">
        <f ca="1" t="shared" si="6"/>
        <v>High</v>
      </c>
      <c r="M19" s="160"/>
      <c r="N19" s="160" t="s">
        <v>15</v>
      </c>
      <c r="O19" s="160" t="s">
        <v>110</v>
      </c>
      <c r="P19" s="159"/>
      <c r="Q19" s="164"/>
      <c r="R19" s="160" t="s">
        <v>15</v>
      </c>
      <c r="S19" s="160">
        <f ca="1" t="shared" si="7"/>
        <v>50</v>
      </c>
      <c r="T19" s="160" t="str">
        <f ca="1" t="shared" si="8"/>
        <v>—</v>
      </c>
      <c r="U19" s="160" t="str">
        <f ca="1" t="shared" si="9"/>
        <v>🔶 Consider</v>
      </c>
      <c r="V19" s="167" t="s">
        <v>111</v>
      </c>
    </row>
    <row r="20" ht="19.5" customHeight="1" spans="1:22">
      <c r="A20" s="43">
        <v>46184</v>
      </c>
      <c r="B20" s="29">
        <v>13042838</v>
      </c>
      <c r="C20" s="29" t="s">
        <v>112</v>
      </c>
      <c r="D20" s="29" t="s">
        <v>113</v>
      </c>
      <c r="E20" s="163" t="s">
        <v>92</v>
      </c>
      <c r="F20" s="29" t="s">
        <v>65</v>
      </c>
      <c r="G20" s="29" t="s">
        <v>72</v>
      </c>
      <c r="H20" s="42">
        <v>247500</v>
      </c>
      <c r="I20" s="43">
        <v>46189</v>
      </c>
      <c r="J20" s="165">
        <v>0.5</v>
      </c>
      <c r="K20" s="168">
        <f ca="1" t="shared" si="5"/>
        <v>-4</v>
      </c>
      <c r="L20" s="29" t="str">
        <f ca="1" t="shared" si="6"/>
        <v>High</v>
      </c>
      <c r="M20" s="29"/>
      <c r="N20" s="29" t="s">
        <v>102</v>
      </c>
      <c r="O20" s="29" t="s">
        <v>110</v>
      </c>
      <c r="P20" s="43"/>
      <c r="Q20" s="42"/>
      <c r="R20" s="29" t="s">
        <v>15</v>
      </c>
      <c r="S20" s="29">
        <f ca="1" t="shared" si="7"/>
        <v>40</v>
      </c>
      <c r="T20" s="29" t="str">
        <f ca="1" t="shared" si="8"/>
        <v>—</v>
      </c>
      <c r="U20" s="29" t="str">
        <f ca="1" t="shared" si="9"/>
        <v>❌ Low Priority</v>
      </c>
      <c r="V20" s="186" t="s">
        <v>114</v>
      </c>
    </row>
    <row r="21" ht="19.5" customHeight="1" spans="1:22">
      <c r="A21" s="159">
        <v>46184</v>
      </c>
      <c r="B21" s="160">
        <v>13051917</v>
      </c>
      <c r="C21" s="160" t="s">
        <v>115</v>
      </c>
      <c r="D21" s="160" t="s">
        <v>116</v>
      </c>
      <c r="E21" s="163" t="s">
        <v>92</v>
      </c>
      <c r="F21" s="160" t="s">
        <v>65</v>
      </c>
      <c r="G21" s="160" t="s">
        <v>72</v>
      </c>
      <c r="H21" s="164">
        <v>253000</v>
      </c>
      <c r="I21" s="159">
        <v>46190</v>
      </c>
      <c r="J21" s="165">
        <v>0.291666666666667</v>
      </c>
      <c r="K21" s="166">
        <f ca="1" t="shared" si="5"/>
        <v>-3</v>
      </c>
      <c r="L21" s="160" t="str">
        <f ca="1" t="shared" si="6"/>
        <v>High</v>
      </c>
      <c r="M21" s="160"/>
      <c r="N21" s="160" t="s">
        <v>117</v>
      </c>
      <c r="O21" s="160" t="s">
        <v>118</v>
      </c>
      <c r="P21" s="159"/>
      <c r="Q21" s="164"/>
      <c r="R21" s="160" t="s">
        <v>15</v>
      </c>
      <c r="S21" s="160">
        <f ca="1" t="shared" si="7"/>
        <v>40</v>
      </c>
      <c r="T21" s="160" t="str">
        <f ca="1" t="shared" si="8"/>
        <v>—</v>
      </c>
      <c r="U21" s="160" t="str">
        <f ca="1" t="shared" si="9"/>
        <v>❌ Low Priority</v>
      </c>
      <c r="V21" s="172" t="s">
        <v>119</v>
      </c>
    </row>
    <row r="22" ht="19.5" customHeight="1" spans="1:22">
      <c r="A22" s="43">
        <v>46184</v>
      </c>
      <c r="B22" s="29">
        <v>13045199</v>
      </c>
      <c r="C22" s="29" t="s">
        <v>115</v>
      </c>
      <c r="D22" s="29" t="s">
        <v>120</v>
      </c>
      <c r="E22" s="163" t="s">
        <v>95</v>
      </c>
      <c r="F22" s="29" t="s">
        <v>65</v>
      </c>
      <c r="G22" s="29" t="s">
        <v>72</v>
      </c>
      <c r="H22" s="42">
        <v>324200</v>
      </c>
      <c r="I22" s="43">
        <v>46188</v>
      </c>
      <c r="J22" s="165">
        <v>0.333333333333333</v>
      </c>
      <c r="K22" s="168">
        <f ca="1" t="shared" si="5"/>
        <v>-5</v>
      </c>
      <c r="L22" s="29" t="str">
        <f ca="1" t="shared" si="6"/>
        <v>High</v>
      </c>
      <c r="M22" s="29"/>
      <c r="N22" s="29" t="s">
        <v>79</v>
      </c>
      <c r="O22" s="187" t="s">
        <v>121</v>
      </c>
      <c r="P22" s="188">
        <v>46188</v>
      </c>
      <c r="Q22" s="42"/>
      <c r="R22" s="29" t="s">
        <v>15</v>
      </c>
      <c r="S22" s="29">
        <f ca="1" t="shared" si="7"/>
        <v>40</v>
      </c>
      <c r="T22" s="29" t="str">
        <f ca="1" t="shared" si="8"/>
        <v>—</v>
      </c>
      <c r="U22" s="29" t="str">
        <f ca="1" t="shared" si="9"/>
        <v>❌ Low Priority</v>
      </c>
      <c r="V22" s="186" t="s">
        <v>122</v>
      </c>
    </row>
    <row r="23" ht="19.5" customHeight="1" spans="1:22">
      <c r="A23" s="159">
        <v>46179</v>
      </c>
      <c r="B23" s="160">
        <v>13042045</v>
      </c>
      <c r="C23" s="160" t="s">
        <v>115</v>
      </c>
      <c r="D23" s="160" t="s">
        <v>123</v>
      </c>
      <c r="E23" s="163" t="s">
        <v>71</v>
      </c>
      <c r="F23" s="160" t="s">
        <v>65</v>
      </c>
      <c r="G23" s="160" t="s">
        <v>72</v>
      </c>
      <c r="H23" s="164">
        <v>67713600</v>
      </c>
      <c r="I23" s="159">
        <v>46189</v>
      </c>
      <c r="J23" s="165">
        <v>0.375</v>
      </c>
      <c r="K23" s="166">
        <f ca="1" t="shared" si="5"/>
        <v>-4</v>
      </c>
      <c r="L23" s="160" t="str">
        <f ca="1" t="shared" si="6"/>
        <v>High</v>
      </c>
      <c r="M23" s="160"/>
      <c r="N23" s="160" t="s">
        <v>25</v>
      </c>
      <c r="O23" s="160" t="s">
        <v>124</v>
      </c>
      <c r="P23" s="159"/>
      <c r="Q23" s="164"/>
      <c r="R23" s="160" t="s">
        <v>25</v>
      </c>
      <c r="S23" s="160">
        <f ca="1" t="shared" si="7"/>
        <v>60</v>
      </c>
      <c r="T23" s="160" t="str">
        <f ca="1" t="shared" si="8"/>
        <v>—</v>
      </c>
      <c r="U23" s="160" t="str">
        <f ca="1" t="shared" si="9"/>
        <v>🔶 Consider</v>
      </c>
      <c r="V23" s="185" t="s">
        <v>125</v>
      </c>
    </row>
    <row r="24" ht="19.5" customHeight="1" spans="1:22">
      <c r="A24" s="43">
        <v>46184</v>
      </c>
      <c r="B24" s="29">
        <v>13050778</v>
      </c>
      <c r="C24" s="29" t="s">
        <v>126</v>
      </c>
      <c r="D24" s="29" t="s">
        <v>127</v>
      </c>
      <c r="E24" s="163" t="s">
        <v>92</v>
      </c>
      <c r="F24" s="29" t="s">
        <v>65</v>
      </c>
      <c r="G24" s="29" t="s">
        <v>128</v>
      </c>
      <c r="H24" s="42">
        <v>230000</v>
      </c>
      <c r="I24" s="43">
        <v>46188</v>
      </c>
      <c r="J24" s="165">
        <v>0.416666666666667</v>
      </c>
      <c r="K24" s="168">
        <f ca="1" t="shared" si="5"/>
        <v>-5</v>
      </c>
      <c r="L24" s="29" t="str">
        <f ca="1" t="shared" si="6"/>
        <v>High</v>
      </c>
      <c r="M24" s="29"/>
      <c r="N24" s="29" t="s">
        <v>102</v>
      </c>
      <c r="O24" s="29" t="s">
        <v>110</v>
      </c>
      <c r="P24" s="43"/>
      <c r="Q24" s="42"/>
      <c r="R24" s="29" t="s">
        <v>15</v>
      </c>
      <c r="S24" s="29">
        <f ca="1" t="shared" si="7"/>
        <v>40</v>
      </c>
      <c r="T24" s="29" t="str">
        <f ca="1" t="shared" si="8"/>
        <v>—</v>
      </c>
      <c r="U24" s="29" t="str">
        <f ca="1" t="shared" si="9"/>
        <v>❌ Low Priority</v>
      </c>
      <c r="V24" s="186" t="s">
        <v>129</v>
      </c>
    </row>
    <row r="25" ht="19.5" customHeight="1" spans="1:22">
      <c r="A25" s="159">
        <v>46184</v>
      </c>
      <c r="B25" s="160">
        <v>13048298</v>
      </c>
      <c r="C25" s="160" t="s">
        <v>126</v>
      </c>
      <c r="D25" s="160" t="s">
        <v>130</v>
      </c>
      <c r="E25" s="163" t="s">
        <v>92</v>
      </c>
      <c r="F25" s="160" t="s">
        <v>65</v>
      </c>
      <c r="G25" s="160" t="s">
        <v>128</v>
      </c>
      <c r="H25" s="164">
        <v>1580332.4</v>
      </c>
      <c r="I25" s="159">
        <v>46188</v>
      </c>
      <c r="J25" s="165">
        <v>0.416666666666667</v>
      </c>
      <c r="K25" s="166">
        <f ca="1" t="shared" si="5"/>
        <v>-5</v>
      </c>
      <c r="L25" s="160" t="str">
        <f ca="1" t="shared" si="6"/>
        <v>High</v>
      </c>
      <c r="M25" s="160"/>
      <c r="N25" s="160" t="s">
        <v>102</v>
      </c>
      <c r="O25" s="160" t="s">
        <v>110</v>
      </c>
      <c r="P25" s="159"/>
      <c r="Q25" s="164"/>
      <c r="R25" s="160" t="s">
        <v>15</v>
      </c>
      <c r="S25" s="160">
        <f ca="1" t="shared" si="7"/>
        <v>50</v>
      </c>
      <c r="T25" s="160" t="str">
        <f ca="1" t="shared" si="8"/>
        <v>—</v>
      </c>
      <c r="U25" s="160" t="str">
        <f ca="1" t="shared" si="9"/>
        <v>🔶 Consider</v>
      </c>
      <c r="V25" s="167" t="s">
        <v>131</v>
      </c>
    </row>
    <row r="26" ht="19.5" customHeight="1" spans="1:22">
      <c r="A26" s="43">
        <v>46187</v>
      </c>
      <c r="B26" s="29">
        <v>13031492</v>
      </c>
      <c r="C26" s="29" t="s">
        <v>115</v>
      </c>
      <c r="D26" s="29" t="s">
        <v>132</v>
      </c>
      <c r="E26" s="163" t="s">
        <v>71</v>
      </c>
      <c r="F26" s="29" t="s">
        <v>65</v>
      </c>
      <c r="G26" s="29" t="s">
        <v>72</v>
      </c>
      <c r="H26" s="42">
        <v>3906000</v>
      </c>
      <c r="I26" s="43">
        <v>46196</v>
      </c>
      <c r="J26" s="165">
        <v>0.5</v>
      </c>
      <c r="K26" s="168">
        <f ca="1" t="shared" si="5"/>
        <v>3</v>
      </c>
      <c r="L26" s="29" t="str">
        <f ca="1" t="shared" si="6"/>
        <v>High</v>
      </c>
      <c r="M26" s="29"/>
      <c r="N26" s="29" t="s">
        <v>133</v>
      </c>
      <c r="O26" s="187" t="s">
        <v>134</v>
      </c>
      <c r="P26" s="43"/>
      <c r="Q26" s="42"/>
      <c r="R26" s="29" t="s">
        <v>15</v>
      </c>
      <c r="S26" s="29">
        <f ca="1" t="shared" si="7"/>
        <v>50</v>
      </c>
      <c r="T26" s="29" t="str">
        <f ca="1" t="shared" si="8"/>
        <v>—</v>
      </c>
      <c r="U26" s="29" t="str">
        <f ca="1" t="shared" si="9"/>
        <v>🔶 Consider</v>
      </c>
      <c r="V26" s="189" t="s">
        <v>135</v>
      </c>
    </row>
    <row r="27" ht="19.5" customHeight="1" spans="1:22">
      <c r="A27" s="159">
        <v>46187</v>
      </c>
      <c r="B27" s="160">
        <v>36729</v>
      </c>
      <c r="C27" s="160" t="s">
        <v>136</v>
      </c>
      <c r="D27" s="160" t="s">
        <v>137</v>
      </c>
      <c r="E27" s="163" t="s">
        <v>64</v>
      </c>
      <c r="F27" s="160" t="s">
        <v>65</v>
      </c>
      <c r="G27" s="160" t="s">
        <v>138</v>
      </c>
      <c r="H27" s="164">
        <v>267965</v>
      </c>
      <c r="I27" s="159">
        <v>46190</v>
      </c>
      <c r="J27" s="165">
        <v>0.375</v>
      </c>
      <c r="K27" s="166">
        <f ca="1" t="shared" si="5"/>
        <v>-3</v>
      </c>
      <c r="L27" s="160" t="str">
        <f ca="1" t="shared" si="6"/>
        <v>High</v>
      </c>
      <c r="M27" s="160"/>
      <c r="N27" s="160" t="s">
        <v>133</v>
      </c>
      <c r="O27" s="187" t="s">
        <v>139</v>
      </c>
      <c r="P27" s="159"/>
      <c r="Q27" s="164"/>
      <c r="R27" s="160" t="s">
        <v>15</v>
      </c>
      <c r="S27" s="160">
        <f ca="1" t="shared" si="7"/>
        <v>40</v>
      </c>
      <c r="T27" s="160" t="str">
        <f ca="1" t="shared" si="8"/>
        <v>—</v>
      </c>
      <c r="U27" s="160" t="str">
        <f ca="1" t="shared" si="9"/>
        <v>❌ Low Priority</v>
      </c>
      <c r="V27" s="185" t="s">
        <v>140</v>
      </c>
    </row>
    <row r="28" ht="19.5" customHeight="1" spans="1:22">
      <c r="A28" s="43">
        <v>46187</v>
      </c>
      <c r="B28" s="29">
        <v>13042259</v>
      </c>
      <c r="C28" s="29" t="s">
        <v>115</v>
      </c>
      <c r="D28" s="29" t="s">
        <v>141</v>
      </c>
      <c r="E28" s="163" t="s">
        <v>71</v>
      </c>
      <c r="F28" s="29" t="s">
        <v>65</v>
      </c>
      <c r="G28" s="29" t="s">
        <v>72</v>
      </c>
      <c r="H28" s="42">
        <v>4590000</v>
      </c>
      <c r="I28" s="43">
        <v>46189</v>
      </c>
      <c r="J28" s="165">
        <v>0.375</v>
      </c>
      <c r="K28" s="168">
        <f ca="1" t="shared" si="5"/>
        <v>-4</v>
      </c>
      <c r="L28" s="29" t="str">
        <f ca="1" t="shared" si="6"/>
        <v>High</v>
      </c>
      <c r="M28" s="29"/>
      <c r="N28" s="29" t="s">
        <v>22</v>
      </c>
      <c r="O28" s="187" t="s">
        <v>142</v>
      </c>
      <c r="P28" s="43"/>
      <c r="Q28" s="42"/>
      <c r="R28" s="29" t="s">
        <v>15</v>
      </c>
      <c r="S28" s="29">
        <f ca="1" t="shared" si="7"/>
        <v>50</v>
      </c>
      <c r="T28" s="29" t="str">
        <f ca="1" t="shared" si="8"/>
        <v>—</v>
      </c>
      <c r="U28" s="29" t="str">
        <f ca="1" t="shared" si="9"/>
        <v>🔶 Consider</v>
      </c>
      <c r="V28" s="189" t="s">
        <v>143</v>
      </c>
    </row>
    <row r="29" ht="19.5" customHeight="1" spans="1:22">
      <c r="A29" s="159">
        <v>46190</v>
      </c>
      <c r="B29" s="160">
        <v>13061414</v>
      </c>
      <c r="C29" s="160" t="s">
        <v>144</v>
      </c>
      <c r="D29" s="160" t="s">
        <v>145</v>
      </c>
      <c r="E29" s="163" t="s">
        <v>64</v>
      </c>
      <c r="F29" s="160" t="s">
        <v>65</v>
      </c>
      <c r="G29" s="160" t="s">
        <v>72</v>
      </c>
      <c r="H29" s="164">
        <v>238587.3</v>
      </c>
      <c r="I29" s="159">
        <v>46195</v>
      </c>
      <c r="J29" s="165">
        <v>0.333333333333333</v>
      </c>
      <c r="K29" s="166">
        <f ca="1" t="shared" si="5"/>
        <v>2</v>
      </c>
      <c r="L29" s="160" t="str">
        <f ca="1" t="shared" si="6"/>
        <v>High</v>
      </c>
      <c r="M29" s="160"/>
      <c r="N29" s="160" t="s">
        <v>133</v>
      </c>
      <c r="O29" s="184" t="s">
        <v>134</v>
      </c>
      <c r="P29" s="159"/>
      <c r="Q29" s="164"/>
      <c r="R29" s="160" t="s">
        <v>15</v>
      </c>
      <c r="S29" s="160">
        <f ca="1" t="shared" si="7"/>
        <v>40</v>
      </c>
      <c r="T29" s="160" t="str">
        <f ca="1" t="shared" si="8"/>
        <v>—</v>
      </c>
      <c r="U29" s="160" t="str">
        <f ca="1" t="shared" si="9"/>
        <v>❌ Low Priority</v>
      </c>
      <c r="V29" s="167" t="s">
        <v>146</v>
      </c>
    </row>
    <row r="30" ht="19.5" customHeight="1" spans="1:22">
      <c r="A30" s="43">
        <v>46191</v>
      </c>
      <c r="B30" s="29">
        <v>13046873</v>
      </c>
      <c r="C30" s="29" t="s">
        <v>147</v>
      </c>
      <c r="D30" s="29" t="s">
        <v>148</v>
      </c>
      <c r="E30" s="163" t="s">
        <v>71</v>
      </c>
      <c r="F30" s="29" t="s">
        <v>65</v>
      </c>
      <c r="G30" s="29" t="s">
        <v>72</v>
      </c>
      <c r="H30" s="42">
        <v>412634</v>
      </c>
      <c r="I30" s="43">
        <v>46195</v>
      </c>
      <c r="J30" s="165">
        <v>0.0416666666666667</v>
      </c>
      <c r="K30" s="168">
        <f ca="1" t="shared" si="5"/>
        <v>2</v>
      </c>
      <c r="L30" s="29" t="str">
        <f ca="1" t="shared" si="6"/>
        <v>High</v>
      </c>
      <c r="M30" s="29"/>
      <c r="N30" s="29" t="s">
        <v>79</v>
      </c>
      <c r="O30" s="29" t="s">
        <v>121</v>
      </c>
      <c r="P30" s="43"/>
      <c r="Q30" s="42"/>
      <c r="R30" s="29" t="s">
        <v>15</v>
      </c>
      <c r="S30" s="29">
        <f ca="1" t="shared" si="7"/>
        <v>40</v>
      </c>
      <c r="T30" s="29" t="str">
        <f ca="1" t="shared" si="8"/>
        <v>—</v>
      </c>
      <c r="U30" s="29" t="str">
        <f ca="1" t="shared" si="9"/>
        <v>❌ Low Priority</v>
      </c>
      <c r="V30" s="186" t="s">
        <v>149</v>
      </c>
    </row>
    <row r="31" ht="19.5" customHeight="1" spans="1:22">
      <c r="A31" s="159">
        <v>46191</v>
      </c>
      <c r="B31" s="160">
        <v>13046956</v>
      </c>
      <c r="C31" s="160" t="s">
        <v>147</v>
      </c>
      <c r="D31" s="160" t="s">
        <v>148</v>
      </c>
      <c r="E31" s="163" t="s">
        <v>71</v>
      </c>
      <c r="F31" s="160" t="s">
        <v>65</v>
      </c>
      <c r="G31" s="160" t="s">
        <v>72</v>
      </c>
      <c r="H31" s="164">
        <v>487550</v>
      </c>
      <c r="I31" s="159">
        <v>46195</v>
      </c>
      <c r="J31" s="165">
        <v>0.0416666666666667</v>
      </c>
      <c r="K31" s="166">
        <f ca="1" t="shared" si="5"/>
        <v>2</v>
      </c>
      <c r="L31" s="160" t="str">
        <f ca="1" t="shared" si="6"/>
        <v>High</v>
      </c>
      <c r="M31" s="160"/>
      <c r="N31" s="160" t="s">
        <v>79</v>
      </c>
      <c r="O31" s="160" t="s">
        <v>121</v>
      </c>
      <c r="P31" s="159"/>
      <c r="Q31" s="164"/>
      <c r="R31" s="160" t="s">
        <v>15</v>
      </c>
      <c r="S31" s="160">
        <f ca="1" t="shared" si="7"/>
        <v>40</v>
      </c>
      <c r="T31" s="160" t="str">
        <f ca="1" t="shared" si="8"/>
        <v>—</v>
      </c>
      <c r="U31" s="160" t="str">
        <f ca="1" t="shared" si="9"/>
        <v>❌ Low Priority</v>
      </c>
      <c r="V31" s="167" t="s">
        <v>150</v>
      </c>
    </row>
    <row r="32" ht="19.5" customHeight="1" spans="1:22">
      <c r="A32" s="43">
        <v>46191</v>
      </c>
      <c r="B32" s="29">
        <v>13046969</v>
      </c>
      <c r="C32" s="29" t="s">
        <v>147</v>
      </c>
      <c r="D32" s="29" t="s">
        <v>151</v>
      </c>
      <c r="E32" s="163" t="s">
        <v>71</v>
      </c>
      <c r="F32" s="29" t="s">
        <v>65</v>
      </c>
      <c r="G32" s="29" t="s">
        <v>72</v>
      </c>
      <c r="H32" s="42">
        <v>303000</v>
      </c>
      <c r="I32" s="43">
        <v>46195</v>
      </c>
      <c r="J32" s="165">
        <v>0.0416666666666667</v>
      </c>
      <c r="K32" s="168">
        <f ca="1" t="shared" si="5"/>
        <v>2</v>
      </c>
      <c r="L32" s="29" t="str">
        <f ca="1" t="shared" si="6"/>
        <v>High</v>
      </c>
      <c r="M32" s="29"/>
      <c r="N32" s="29" t="s">
        <v>79</v>
      </c>
      <c r="O32" s="29" t="s">
        <v>121</v>
      </c>
      <c r="P32" s="43"/>
      <c r="Q32" s="42"/>
      <c r="R32" s="29" t="s">
        <v>15</v>
      </c>
      <c r="S32" s="29">
        <f ca="1" t="shared" si="7"/>
        <v>40</v>
      </c>
      <c r="T32" s="29" t="str">
        <f ca="1" t="shared" si="8"/>
        <v>—</v>
      </c>
      <c r="U32" s="29" t="str">
        <f ca="1" t="shared" si="9"/>
        <v>❌ Low Priority</v>
      </c>
      <c r="V32" s="186" t="s">
        <v>150</v>
      </c>
    </row>
    <row r="33" ht="19.5" customHeight="1" spans="1:22">
      <c r="A33" s="159">
        <v>46193</v>
      </c>
      <c r="B33" s="160">
        <v>13062125</v>
      </c>
      <c r="C33" s="190" t="s">
        <v>87</v>
      </c>
      <c r="D33" s="190" t="s">
        <v>152</v>
      </c>
      <c r="E33" s="163" t="s">
        <v>153</v>
      </c>
      <c r="F33" s="160" t="s">
        <v>65</v>
      </c>
      <c r="G33" s="160" t="s">
        <v>72</v>
      </c>
      <c r="H33" s="164">
        <v>228600</v>
      </c>
      <c r="I33" s="159">
        <v>46195</v>
      </c>
      <c r="J33" s="165">
        <v>0.625</v>
      </c>
      <c r="K33" s="166">
        <f ca="1" t="shared" si="5"/>
        <v>2</v>
      </c>
      <c r="L33" s="160" t="str">
        <f ca="1" t="shared" si="6"/>
        <v>High</v>
      </c>
      <c r="M33" s="160"/>
      <c r="N33" s="160" t="s">
        <v>102</v>
      </c>
      <c r="O33" s="160" t="s">
        <v>106</v>
      </c>
      <c r="P33" s="159"/>
      <c r="Q33" s="164"/>
      <c r="R33" s="160" t="s">
        <v>15</v>
      </c>
      <c r="S33" s="160">
        <f ca="1" t="shared" si="7"/>
        <v>40</v>
      </c>
      <c r="T33" s="160" t="str">
        <f ca="1" t="shared" si="8"/>
        <v>—</v>
      </c>
      <c r="U33" s="160" t="str">
        <f ca="1" t="shared" si="9"/>
        <v>❌ Low Priority</v>
      </c>
      <c r="V33" s="167" t="s">
        <v>154</v>
      </c>
    </row>
    <row r="34" ht="19.5" customHeight="1" spans="1:22">
      <c r="A34" s="43">
        <v>46193</v>
      </c>
      <c r="B34" s="29">
        <v>13061994</v>
      </c>
      <c r="C34" s="29" t="s">
        <v>87</v>
      </c>
      <c r="D34" s="29" t="s">
        <v>64</v>
      </c>
      <c r="E34" s="163" t="s">
        <v>64</v>
      </c>
      <c r="F34" s="29" t="s">
        <v>65</v>
      </c>
      <c r="G34" s="29" t="s">
        <v>72</v>
      </c>
      <c r="H34" s="42">
        <v>453964.84</v>
      </c>
      <c r="I34" s="43">
        <v>46195</v>
      </c>
      <c r="J34" s="165">
        <v>0.625</v>
      </c>
      <c r="K34" s="168">
        <f ca="1" t="shared" si="5"/>
        <v>2</v>
      </c>
      <c r="L34" s="29" t="str">
        <f ca="1" t="shared" si="6"/>
        <v>High</v>
      </c>
      <c r="M34" s="29"/>
      <c r="N34" s="29" t="s">
        <v>155</v>
      </c>
      <c r="O34" s="29" t="s">
        <v>80</v>
      </c>
      <c r="P34" s="43"/>
      <c r="Q34" s="42"/>
      <c r="R34" s="29" t="s">
        <v>15</v>
      </c>
      <c r="S34" s="29">
        <f ca="1" t="shared" si="7"/>
        <v>40</v>
      </c>
      <c r="T34" s="29" t="str">
        <f ca="1" t="shared" si="8"/>
        <v>—</v>
      </c>
      <c r="U34" s="29" t="str">
        <f ca="1" t="shared" si="9"/>
        <v>❌ Low Priority</v>
      </c>
      <c r="V34" s="189" t="s">
        <v>156</v>
      </c>
    </row>
    <row r="35" ht="19.5" customHeight="1" spans="1:22">
      <c r="A35" s="159"/>
      <c r="B35" s="160"/>
      <c r="C35" s="160"/>
      <c r="D35" s="160"/>
      <c r="E35" s="163"/>
      <c r="F35" s="160"/>
      <c r="G35" s="160"/>
      <c r="H35" s="164"/>
      <c r="I35" s="159"/>
      <c r="J35" s="165"/>
      <c r="K35" s="166" t="str">
        <f ca="1" t="shared" si="5"/>
        <v/>
      </c>
      <c r="L35" s="160" t="str">
        <f ca="1" t="shared" si="6"/>
        <v/>
      </c>
      <c r="M35" s="160"/>
      <c r="N35" s="160"/>
      <c r="O35" s="160"/>
      <c r="P35" s="159"/>
      <c r="Q35" s="164"/>
      <c r="R35" s="160"/>
      <c r="S35" s="160" t="str">
        <f ca="1" t="shared" si="7"/>
        <v/>
      </c>
      <c r="T35" s="160" t="str">
        <f ca="1" t="shared" si="8"/>
        <v/>
      </c>
      <c r="U35" s="160" t="str">
        <f ca="1" t="shared" si="9"/>
        <v/>
      </c>
      <c r="V35" s="172"/>
    </row>
    <row r="36" ht="19.5" customHeight="1" spans="1:22">
      <c r="A36" s="43"/>
      <c r="B36" s="29"/>
      <c r="C36" s="29"/>
      <c r="D36" s="29"/>
      <c r="E36" s="163"/>
      <c r="F36" s="29"/>
      <c r="G36" s="29"/>
      <c r="H36" s="42"/>
      <c r="I36" s="43"/>
      <c r="J36" s="165"/>
      <c r="K36" s="168" t="str">
        <f ca="1" t="shared" si="5"/>
        <v/>
      </c>
      <c r="L36" s="29" t="str">
        <f ca="1" t="shared" si="6"/>
        <v/>
      </c>
      <c r="M36" s="29"/>
      <c r="N36" s="29"/>
      <c r="O36" s="29"/>
      <c r="P36" s="43"/>
      <c r="Q36" s="42"/>
      <c r="R36" s="29"/>
      <c r="S36" s="29" t="str">
        <f ca="1" t="shared" si="7"/>
        <v/>
      </c>
      <c r="T36" s="29" t="str">
        <f ca="1" t="shared" si="8"/>
        <v/>
      </c>
      <c r="U36" s="29" t="str">
        <f ca="1" t="shared" si="9"/>
        <v/>
      </c>
      <c r="V36" s="171"/>
    </row>
    <row r="37" ht="19.5" customHeight="1" spans="1:22">
      <c r="A37" s="159"/>
      <c r="B37" s="160"/>
      <c r="C37" s="160"/>
      <c r="D37" s="160"/>
      <c r="E37" s="160"/>
      <c r="F37" s="160"/>
      <c r="G37" s="160"/>
      <c r="H37" s="164"/>
      <c r="I37" s="159"/>
      <c r="J37" s="165"/>
      <c r="K37" s="166" t="str">
        <f ca="1" t="shared" si="5"/>
        <v/>
      </c>
      <c r="L37" s="160" t="str">
        <f ca="1" t="shared" si="6"/>
        <v/>
      </c>
      <c r="M37" s="160"/>
      <c r="N37" s="160"/>
      <c r="O37" s="160"/>
      <c r="P37" s="159"/>
      <c r="Q37" s="164"/>
      <c r="R37" s="160"/>
      <c r="S37" s="160" t="str">
        <f ca="1" t="shared" si="7"/>
        <v/>
      </c>
      <c r="T37" s="160" t="str">
        <f ca="1" t="shared" si="8"/>
        <v/>
      </c>
      <c r="U37" s="160" t="str">
        <f ca="1" t="shared" si="9"/>
        <v/>
      </c>
      <c r="V37" s="172"/>
    </row>
    <row r="38" ht="19.5" customHeight="1" spans="1:22">
      <c r="A38" s="43"/>
      <c r="B38" s="29"/>
      <c r="C38" s="29"/>
      <c r="D38" s="29"/>
      <c r="E38" s="29"/>
      <c r="F38" s="29"/>
      <c r="G38" s="29"/>
      <c r="H38" s="42"/>
      <c r="I38" s="43"/>
      <c r="J38" s="165"/>
      <c r="K38" s="168" t="str">
        <f ca="1" t="shared" si="5"/>
        <v/>
      </c>
      <c r="L38" s="29" t="str">
        <f ca="1" t="shared" si="6"/>
        <v/>
      </c>
      <c r="M38" s="29"/>
      <c r="N38" s="29"/>
      <c r="O38" s="29"/>
      <c r="P38" s="43"/>
      <c r="Q38" s="42"/>
      <c r="R38" s="29"/>
      <c r="S38" s="29" t="str">
        <f ca="1" t="shared" si="7"/>
        <v/>
      </c>
      <c r="T38" s="29" t="str">
        <f ca="1" t="shared" si="8"/>
        <v/>
      </c>
      <c r="U38" s="29" t="str">
        <f ca="1" t="shared" si="9"/>
        <v/>
      </c>
      <c r="V38" s="171"/>
    </row>
    <row r="39" ht="19.5" customHeight="1" spans="1:22">
      <c r="A39" s="159"/>
      <c r="B39" s="160"/>
      <c r="C39" s="160"/>
      <c r="D39" s="160"/>
      <c r="E39" s="160"/>
      <c r="F39" s="160"/>
      <c r="G39" s="160"/>
      <c r="H39" s="164"/>
      <c r="I39" s="159"/>
      <c r="J39" s="165"/>
      <c r="K39" s="166" t="str">
        <f ca="1" t="shared" si="5"/>
        <v/>
      </c>
      <c r="L39" s="160" t="str">
        <f ca="1" t="shared" si="6"/>
        <v/>
      </c>
      <c r="M39" s="160"/>
      <c r="N39" s="160"/>
      <c r="O39" s="160"/>
      <c r="P39" s="159"/>
      <c r="Q39" s="164"/>
      <c r="R39" s="160"/>
      <c r="S39" s="160" t="str">
        <f ca="1" t="shared" si="7"/>
        <v/>
      </c>
      <c r="T39" s="160" t="str">
        <f ca="1" t="shared" si="8"/>
        <v/>
      </c>
      <c r="U39" s="160" t="str">
        <f ca="1" t="shared" si="9"/>
        <v/>
      </c>
      <c r="V39" s="172"/>
    </row>
    <row r="40" ht="19.5" customHeight="1" spans="1:22">
      <c r="A40" s="43"/>
      <c r="B40" s="29"/>
      <c r="C40" s="29"/>
      <c r="D40" s="29"/>
      <c r="E40" s="29"/>
      <c r="F40" s="29"/>
      <c r="G40" s="29"/>
      <c r="H40" s="42"/>
      <c r="I40" s="43"/>
      <c r="J40" s="165"/>
      <c r="K40" s="168" t="str">
        <f ca="1" t="shared" si="5"/>
        <v/>
      </c>
      <c r="L40" s="29" t="str">
        <f ca="1" t="shared" si="6"/>
        <v/>
      </c>
      <c r="M40" s="29"/>
      <c r="N40" s="29"/>
      <c r="O40" s="29"/>
      <c r="P40" s="43"/>
      <c r="Q40" s="42"/>
      <c r="R40" s="29"/>
      <c r="S40" s="29" t="str">
        <f ca="1" t="shared" si="7"/>
        <v/>
      </c>
      <c r="T40" s="29" t="str">
        <f ca="1" t="shared" si="8"/>
        <v/>
      </c>
      <c r="U40" s="29" t="str">
        <f ca="1" t="shared" si="9"/>
        <v/>
      </c>
      <c r="V40" s="171"/>
    </row>
    <row r="41" ht="19.5" customHeight="1" spans="1:22">
      <c r="A41" s="159"/>
      <c r="B41" s="160"/>
      <c r="C41" s="160"/>
      <c r="D41" s="160"/>
      <c r="E41" s="160"/>
      <c r="F41" s="160"/>
      <c r="G41" s="160"/>
      <c r="H41" s="164"/>
      <c r="I41" s="159"/>
      <c r="J41" s="165"/>
      <c r="K41" s="166" t="str">
        <f ca="1" t="shared" si="5"/>
        <v/>
      </c>
      <c r="L41" s="160" t="str">
        <f ca="1" t="shared" si="6"/>
        <v/>
      </c>
      <c r="M41" s="160"/>
      <c r="N41" s="160"/>
      <c r="O41" s="160"/>
      <c r="P41" s="159"/>
      <c r="Q41" s="164"/>
      <c r="R41" s="160"/>
      <c r="S41" s="160" t="str">
        <f ca="1" t="shared" si="7"/>
        <v/>
      </c>
      <c r="T41" s="160" t="str">
        <f ca="1" t="shared" si="8"/>
        <v/>
      </c>
      <c r="U41" s="160" t="str">
        <f ca="1" t="shared" si="9"/>
        <v/>
      </c>
      <c r="V41" s="172"/>
    </row>
    <row r="42" ht="19.5" customHeight="1" spans="1:22">
      <c r="A42" s="43"/>
      <c r="B42" s="29"/>
      <c r="C42" s="29"/>
      <c r="D42" s="29"/>
      <c r="E42" s="29"/>
      <c r="F42" s="29"/>
      <c r="G42" s="29"/>
      <c r="H42" s="42"/>
      <c r="I42" s="43"/>
      <c r="J42" s="165"/>
      <c r="K42" s="168" t="str">
        <f ca="1" t="shared" si="5"/>
        <v/>
      </c>
      <c r="L42" s="29" t="str">
        <f ca="1" t="shared" si="6"/>
        <v/>
      </c>
      <c r="M42" s="29"/>
      <c r="N42" s="29"/>
      <c r="O42" s="29"/>
      <c r="P42" s="43"/>
      <c r="Q42" s="42"/>
      <c r="R42" s="29"/>
      <c r="S42" s="29" t="str">
        <f ca="1" t="shared" si="7"/>
        <v/>
      </c>
      <c r="T42" s="29" t="str">
        <f ca="1" t="shared" si="8"/>
        <v/>
      </c>
      <c r="U42" s="29" t="str">
        <f ca="1" t="shared" si="9"/>
        <v/>
      </c>
      <c r="V42" s="171"/>
    </row>
    <row r="43" ht="19.5" customHeight="1" spans="1:22">
      <c r="A43" s="159"/>
      <c r="B43" s="160"/>
      <c r="C43" s="160"/>
      <c r="D43" s="160"/>
      <c r="E43" s="160"/>
      <c r="F43" s="160"/>
      <c r="G43" s="160"/>
      <c r="H43" s="164"/>
      <c r="I43" s="159"/>
      <c r="J43" s="165"/>
      <c r="K43" s="166" t="str">
        <f ca="1" t="shared" si="5"/>
        <v/>
      </c>
      <c r="L43" s="160" t="str">
        <f ca="1" t="shared" si="6"/>
        <v/>
      </c>
      <c r="M43" s="160"/>
      <c r="N43" s="160"/>
      <c r="O43" s="160"/>
      <c r="P43" s="159"/>
      <c r="Q43" s="164"/>
      <c r="R43" s="160"/>
      <c r="S43" s="160" t="str">
        <f ca="1" t="shared" si="7"/>
        <v/>
      </c>
      <c r="T43" s="160" t="str">
        <f ca="1" t="shared" si="8"/>
        <v/>
      </c>
      <c r="U43" s="160" t="str">
        <f ca="1" t="shared" si="9"/>
        <v/>
      </c>
      <c r="V43" s="172"/>
    </row>
    <row r="44" ht="19.5" customHeight="1" spans="1:22">
      <c r="A44" s="43"/>
      <c r="B44" s="29"/>
      <c r="C44" s="29"/>
      <c r="D44" s="29"/>
      <c r="E44" s="29"/>
      <c r="F44" s="29"/>
      <c r="G44" s="29"/>
      <c r="H44" s="42"/>
      <c r="I44" s="43"/>
      <c r="J44" s="165"/>
      <c r="K44" s="168" t="str">
        <f ca="1" t="shared" si="5"/>
        <v/>
      </c>
      <c r="L44" s="29" t="str">
        <f ca="1" t="shared" si="6"/>
        <v/>
      </c>
      <c r="M44" s="29"/>
      <c r="N44" s="29"/>
      <c r="O44" s="29"/>
      <c r="P44" s="43"/>
      <c r="Q44" s="42"/>
      <c r="R44" s="29"/>
      <c r="S44" s="29" t="str">
        <f ca="1" t="shared" si="7"/>
        <v/>
      </c>
      <c r="T44" s="29" t="str">
        <f ca="1" t="shared" si="8"/>
        <v/>
      </c>
      <c r="U44" s="29" t="str">
        <f ca="1" t="shared" si="9"/>
        <v/>
      </c>
      <c r="V44" s="171"/>
    </row>
    <row r="45" ht="19.5" customHeight="1" spans="1:22">
      <c r="A45" s="159"/>
      <c r="B45" s="160"/>
      <c r="C45" s="160"/>
      <c r="D45" s="160"/>
      <c r="E45" s="160"/>
      <c r="F45" s="160"/>
      <c r="G45" s="160"/>
      <c r="H45" s="164"/>
      <c r="I45" s="159"/>
      <c r="J45" s="165"/>
      <c r="K45" s="166" t="str">
        <f ca="1" t="shared" si="5"/>
        <v/>
      </c>
      <c r="L45" s="160" t="str">
        <f ca="1" t="shared" si="6"/>
        <v/>
      </c>
      <c r="M45" s="160"/>
      <c r="N45" s="160"/>
      <c r="O45" s="160"/>
      <c r="P45" s="159"/>
      <c r="Q45" s="164"/>
      <c r="R45" s="160"/>
      <c r="S45" s="160" t="str">
        <f ca="1" t="shared" si="7"/>
        <v/>
      </c>
      <c r="T45" s="160" t="str">
        <f ca="1" t="shared" si="8"/>
        <v/>
      </c>
      <c r="U45" s="160" t="str">
        <f ca="1" t="shared" si="9"/>
        <v/>
      </c>
      <c r="V45" s="172"/>
    </row>
    <row r="46" ht="19.5" customHeight="1" spans="1:22">
      <c r="A46" s="43"/>
      <c r="B46" s="29"/>
      <c r="C46" s="29"/>
      <c r="D46" s="29"/>
      <c r="E46" s="29"/>
      <c r="F46" s="29"/>
      <c r="G46" s="29"/>
      <c r="H46" s="42"/>
      <c r="I46" s="43"/>
      <c r="J46" s="165"/>
      <c r="K46" s="168" t="str">
        <f ca="1" t="shared" si="5"/>
        <v/>
      </c>
      <c r="L46" s="29" t="str">
        <f ca="1" t="shared" si="6"/>
        <v/>
      </c>
      <c r="M46" s="29"/>
      <c r="N46" s="29"/>
      <c r="O46" s="29"/>
      <c r="P46" s="43"/>
      <c r="Q46" s="42"/>
      <c r="R46" s="29"/>
      <c r="S46" s="29" t="str">
        <f ca="1" t="shared" si="7"/>
        <v/>
      </c>
      <c r="T46" s="29" t="str">
        <f ca="1" t="shared" si="8"/>
        <v/>
      </c>
      <c r="U46" s="29" t="str">
        <f ca="1" t="shared" si="9"/>
        <v/>
      </c>
      <c r="V46" s="171"/>
    </row>
    <row r="47" ht="19.5" customHeight="1" spans="1:22">
      <c r="A47" s="159"/>
      <c r="B47" s="160"/>
      <c r="C47" s="160"/>
      <c r="D47" s="160"/>
      <c r="E47" s="160"/>
      <c r="F47" s="160"/>
      <c r="G47" s="160"/>
      <c r="H47" s="164"/>
      <c r="I47" s="159"/>
      <c r="J47" s="165"/>
      <c r="K47" s="166" t="str">
        <f ca="1" t="shared" si="5"/>
        <v/>
      </c>
      <c r="L47" s="160" t="str">
        <f ca="1" t="shared" si="6"/>
        <v/>
      </c>
      <c r="M47" s="160"/>
      <c r="N47" s="160"/>
      <c r="O47" s="160"/>
      <c r="P47" s="159"/>
      <c r="Q47" s="164"/>
      <c r="R47" s="160"/>
      <c r="S47" s="160" t="str">
        <f ca="1" t="shared" si="7"/>
        <v/>
      </c>
      <c r="T47" s="160" t="str">
        <f ca="1" t="shared" si="8"/>
        <v/>
      </c>
      <c r="U47" s="160" t="str">
        <f ca="1" t="shared" si="9"/>
        <v/>
      </c>
      <c r="V47" s="172"/>
    </row>
    <row r="48" ht="19.5" customHeight="1" spans="1:22">
      <c r="A48" s="43"/>
      <c r="B48" s="29"/>
      <c r="C48" s="29"/>
      <c r="D48" s="29"/>
      <c r="E48" s="29"/>
      <c r="F48" s="29"/>
      <c r="G48" s="29"/>
      <c r="H48" s="42"/>
      <c r="I48" s="43"/>
      <c r="J48" s="165"/>
      <c r="K48" s="168" t="str">
        <f ca="1" t="shared" si="5"/>
        <v/>
      </c>
      <c r="L48" s="29" t="str">
        <f ca="1" t="shared" si="6"/>
        <v/>
      </c>
      <c r="M48" s="29"/>
      <c r="N48" s="29"/>
      <c r="O48" s="29"/>
      <c r="P48" s="43"/>
      <c r="Q48" s="42"/>
      <c r="R48" s="29"/>
      <c r="S48" s="29" t="str">
        <f ca="1" t="shared" si="7"/>
        <v/>
      </c>
      <c r="T48" s="29" t="str">
        <f ca="1" t="shared" si="8"/>
        <v/>
      </c>
      <c r="U48" s="29" t="str">
        <f ca="1" t="shared" si="9"/>
        <v/>
      </c>
      <c r="V48" s="171"/>
    </row>
    <row r="49" ht="19.5" customHeight="1" spans="1:22">
      <c r="A49" s="159"/>
      <c r="B49" s="160"/>
      <c r="C49" s="160"/>
      <c r="D49" s="160"/>
      <c r="E49" s="160"/>
      <c r="F49" s="160"/>
      <c r="G49" s="160"/>
      <c r="H49" s="164"/>
      <c r="I49" s="159"/>
      <c r="J49" s="165"/>
      <c r="K49" s="166" t="str">
        <f ca="1" t="shared" si="5"/>
        <v/>
      </c>
      <c r="L49" s="160" t="str">
        <f ca="1" t="shared" si="6"/>
        <v/>
      </c>
      <c r="M49" s="160"/>
      <c r="N49" s="160"/>
      <c r="O49" s="160"/>
      <c r="P49" s="159"/>
      <c r="Q49" s="164"/>
      <c r="R49" s="160"/>
      <c r="S49" s="160" t="str">
        <f ca="1" t="shared" si="7"/>
        <v/>
      </c>
      <c r="T49" s="160" t="str">
        <f ca="1" t="shared" si="8"/>
        <v/>
      </c>
      <c r="U49" s="160" t="str">
        <f ca="1" t="shared" si="9"/>
        <v/>
      </c>
      <c r="V49" s="172"/>
    </row>
    <row r="50" ht="19.5" customHeight="1" spans="1:22">
      <c r="A50" s="43"/>
      <c r="B50" s="29"/>
      <c r="C50" s="29"/>
      <c r="D50" s="29"/>
      <c r="E50" s="29"/>
      <c r="F50" s="29"/>
      <c r="G50" s="29"/>
      <c r="H50" s="42"/>
      <c r="I50" s="43"/>
      <c r="J50" s="165"/>
      <c r="K50" s="168" t="str">
        <f ca="1" t="shared" si="5"/>
        <v/>
      </c>
      <c r="L50" s="29" t="str">
        <f ca="1" t="shared" si="6"/>
        <v/>
      </c>
      <c r="M50" s="29"/>
      <c r="N50" s="29"/>
      <c r="O50" s="29"/>
      <c r="P50" s="43"/>
      <c r="Q50" s="42"/>
      <c r="R50" s="29"/>
      <c r="S50" s="29" t="str">
        <f ca="1" t="shared" si="7"/>
        <v/>
      </c>
      <c r="T50" s="29" t="str">
        <f ca="1" t="shared" si="8"/>
        <v/>
      </c>
      <c r="U50" s="29" t="str">
        <f ca="1" t="shared" si="9"/>
        <v/>
      </c>
      <c r="V50" s="171"/>
    </row>
    <row r="51" ht="19.5" customHeight="1" spans="1:22">
      <c r="A51" s="159"/>
      <c r="B51" s="160"/>
      <c r="C51" s="160"/>
      <c r="D51" s="160"/>
      <c r="E51" s="160"/>
      <c r="F51" s="160"/>
      <c r="G51" s="160"/>
      <c r="H51" s="164"/>
      <c r="I51" s="159"/>
      <c r="J51" s="165"/>
      <c r="K51" s="166" t="str">
        <f ca="1" t="shared" si="5"/>
        <v/>
      </c>
      <c r="L51" s="160" t="str">
        <f ca="1" t="shared" si="6"/>
        <v/>
      </c>
      <c r="M51" s="160"/>
      <c r="N51" s="160"/>
      <c r="O51" s="160"/>
      <c r="P51" s="159"/>
      <c r="Q51" s="164"/>
      <c r="R51" s="160"/>
      <c r="S51" s="160" t="str">
        <f ca="1" t="shared" si="7"/>
        <v/>
      </c>
      <c r="T51" s="160" t="str">
        <f ca="1" t="shared" si="8"/>
        <v/>
      </c>
      <c r="U51" s="160" t="str">
        <f ca="1" t="shared" si="9"/>
        <v/>
      </c>
      <c r="V51" s="172"/>
    </row>
    <row r="52" ht="19.5" customHeight="1" spans="1:22">
      <c r="A52" s="43"/>
      <c r="B52" s="29"/>
      <c r="C52" s="29"/>
      <c r="D52" s="29"/>
      <c r="E52" s="29"/>
      <c r="F52" s="29"/>
      <c r="G52" s="29"/>
      <c r="H52" s="42"/>
      <c r="I52" s="43"/>
      <c r="J52" s="165"/>
      <c r="K52" s="168" t="str">
        <f ca="1" t="shared" si="5"/>
        <v/>
      </c>
      <c r="L52" s="29" t="str">
        <f ca="1" t="shared" si="6"/>
        <v/>
      </c>
      <c r="M52" s="29"/>
      <c r="N52" s="29"/>
      <c r="O52" s="29"/>
      <c r="P52" s="43"/>
      <c r="Q52" s="42"/>
      <c r="R52" s="29"/>
      <c r="S52" s="29" t="str">
        <f ca="1" t="shared" si="7"/>
        <v/>
      </c>
      <c r="T52" s="29" t="str">
        <f ca="1" t="shared" si="8"/>
        <v/>
      </c>
      <c r="U52" s="29" t="str">
        <f ca="1" t="shared" si="9"/>
        <v/>
      </c>
      <c r="V52" s="171"/>
    </row>
    <row r="53" ht="19.5" customHeight="1" spans="1:22">
      <c r="A53" s="159"/>
      <c r="B53" s="160"/>
      <c r="C53" s="160"/>
      <c r="D53" s="160"/>
      <c r="E53" s="160"/>
      <c r="F53" s="160"/>
      <c r="G53" s="160"/>
      <c r="H53" s="164"/>
      <c r="I53" s="159"/>
      <c r="J53" s="165"/>
      <c r="K53" s="166" t="str">
        <f ca="1" t="shared" si="5"/>
        <v/>
      </c>
      <c r="L53" s="160" t="str">
        <f ca="1" t="shared" si="6"/>
        <v/>
      </c>
      <c r="M53" s="160"/>
      <c r="N53" s="160"/>
      <c r="O53" s="160"/>
      <c r="P53" s="159"/>
      <c r="Q53" s="164"/>
      <c r="R53" s="160"/>
      <c r="S53" s="160" t="str">
        <f ca="1" t="shared" si="7"/>
        <v/>
      </c>
      <c r="T53" s="160" t="str">
        <f ca="1" t="shared" si="8"/>
        <v/>
      </c>
      <c r="U53" s="160" t="str">
        <f ca="1" t="shared" si="9"/>
        <v/>
      </c>
      <c r="V53" s="172"/>
    </row>
    <row r="54" ht="19.5" customHeight="1" spans="1:22">
      <c r="A54" s="43"/>
      <c r="B54" s="29"/>
      <c r="C54" s="29"/>
      <c r="D54" s="29"/>
      <c r="E54" s="29"/>
      <c r="F54" s="29"/>
      <c r="G54" s="29"/>
      <c r="H54" s="42"/>
      <c r="I54" s="43"/>
      <c r="J54" s="165"/>
      <c r="K54" s="168" t="str">
        <f ca="1" t="shared" si="5"/>
        <v/>
      </c>
      <c r="L54" s="29" t="str">
        <f ca="1" t="shared" si="6"/>
        <v/>
      </c>
      <c r="M54" s="29"/>
      <c r="N54" s="29"/>
      <c r="O54" s="29"/>
      <c r="P54" s="43"/>
      <c r="Q54" s="42"/>
      <c r="R54" s="29"/>
      <c r="S54" s="29" t="str">
        <f ca="1" t="shared" si="7"/>
        <v/>
      </c>
      <c r="T54" s="29" t="str">
        <f ca="1" t="shared" si="8"/>
        <v/>
      </c>
      <c r="U54" s="29" t="str">
        <f ca="1" t="shared" si="9"/>
        <v/>
      </c>
      <c r="V54" s="171"/>
    </row>
    <row r="55" ht="19.5" customHeight="1" spans="1:22">
      <c r="A55" s="159"/>
      <c r="B55" s="160"/>
      <c r="C55" s="160"/>
      <c r="D55" s="160"/>
      <c r="E55" s="160"/>
      <c r="F55" s="160"/>
      <c r="G55" s="160"/>
      <c r="H55" s="164"/>
      <c r="I55" s="159"/>
      <c r="J55" s="165"/>
      <c r="K55" s="166" t="str">
        <f ca="1" t="shared" si="5"/>
        <v/>
      </c>
      <c r="L55" s="160" t="str">
        <f ca="1" t="shared" si="6"/>
        <v/>
      </c>
      <c r="M55" s="160"/>
      <c r="N55" s="160"/>
      <c r="O55" s="160"/>
      <c r="P55" s="159"/>
      <c r="Q55" s="164"/>
      <c r="R55" s="160"/>
      <c r="S55" s="160" t="str">
        <f ca="1" t="shared" si="7"/>
        <v/>
      </c>
      <c r="T55" s="160" t="str">
        <f ca="1" t="shared" si="8"/>
        <v/>
      </c>
      <c r="U55" s="160" t="str">
        <f ca="1" t="shared" si="9"/>
        <v/>
      </c>
      <c r="V55" s="172"/>
    </row>
    <row r="56" ht="19.5" customHeight="1" spans="1:22">
      <c r="A56" s="43"/>
      <c r="B56" s="29"/>
      <c r="C56" s="29"/>
      <c r="D56" s="29"/>
      <c r="E56" s="29"/>
      <c r="F56" s="29"/>
      <c r="G56" s="29"/>
      <c r="H56" s="42"/>
      <c r="I56" s="43"/>
      <c r="J56" s="165"/>
      <c r="K56" s="168" t="str">
        <f ca="1" t="shared" si="5"/>
        <v/>
      </c>
      <c r="L56" s="29" t="str">
        <f ca="1" t="shared" si="6"/>
        <v/>
      </c>
      <c r="M56" s="29"/>
      <c r="N56" s="29"/>
      <c r="O56" s="29"/>
      <c r="P56" s="43"/>
      <c r="Q56" s="42"/>
      <c r="R56" s="29"/>
      <c r="S56" s="29" t="str">
        <f ca="1" t="shared" si="7"/>
        <v/>
      </c>
      <c r="T56" s="29" t="str">
        <f ca="1" t="shared" si="8"/>
        <v/>
      </c>
      <c r="U56" s="29" t="str">
        <f ca="1" t="shared" si="9"/>
        <v/>
      </c>
      <c r="V56" s="171"/>
    </row>
    <row r="57" ht="19.5" customHeight="1" spans="1:22">
      <c r="A57" s="159"/>
      <c r="B57" s="160"/>
      <c r="C57" s="160"/>
      <c r="D57" s="160"/>
      <c r="E57" s="160"/>
      <c r="F57" s="160"/>
      <c r="G57" s="160"/>
      <c r="H57" s="164"/>
      <c r="I57" s="159"/>
      <c r="J57" s="165"/>
      <c r="K57" s="166" t="str">
        <f ca="1" t="shared" si="5"/>
        <v/>
      </c>
      <c r="L57" s="160" t="str">
        <f ca="1" t="shared" si="6"/>
        <v/>
      </c>
      <c r="M57" s="160"/>
      <c r="N57" s="160"/>
      <c r="O57" s="160"/>
      <c r="P57" s="159"/>
      <c r="Q57" s="164"/>
      <c r="R57" s="160"/>
      <c r="S57" s="160" t="str">
        <f ca="1" t="shared" si="7"/>
        <v/>
      </c>
      <c r="T57" s="160" t="str">
        <f ca="1" t="shared" si="8"/>
        <v/>
      </c>
      <c r="U57" s="160" t="str">
        <f ca="1" t="shared" si="9"/>
        <v/>
      </c>
      <c r="V57" s="172"/>
    </row>
    <row r="58" ht="19.5" customHeight="1" spans="1:22">
      <c r="A58" s="43"/>
      <c r="B58" s="29"/>
      <c r="C58" s="29"/>
      <c r="D58" s="29"/>
      <c r="E58" s="29"/>
      <c r="F58" s="29"/>
      <c r="G58" s="29"/>
      <c r="H58" s="42"/>
      <c r="I58" s="43"/>
      <c r="J58" s="165"/>
      <c r="K58" s="168" t="str">
        <f ca="1" t="shared" si="5"/>
        <v/>
      </c>
      <c r="L58" s="29" t="str">
        <f ca="1" t="shared" si="6"/>
        <v/>
      </c>
      <c r="M58" s="29"/>
      <c r="N58" s="29"/>
      <c r="O58" s="29"/>
      <c r="P58" s="43"/>
      <c r="Q58" s="42"/>
      <c r="R58" s="29"/>
      <c r="S58" s="29" t="str">
        <f ca="1" t="shared" si="7"/>
        <v/>
      </c>
      <c r="T58" s="29" t="str">
        <f ca="1" t="shared" si="8"/>
        <v/>
      </c>
      <c r="U58" s="29" t="str">
        <f ca="1" t="shared" si="9"/>
        <v/>
      </c>
      <c r="V58" s="171"/>
    </row>
    <row r="59" ht="19.5" customHeight="1" spans="1:22">
      <c r="A59" s="159"/>
      <c r="B59" s="160"/>
      <c r="C59" s="160"/>
      <c r="D59" s="160"/>
      <c r="E59" s="160"/>
      <c r="F59" s="160"/>
      <c r="G59" s="160"/>
      <c r="H59" s="164"/>
      <c r="I59" s="159"/>
      <c r="J59" s="165"/>
      <c r="K59" s="166" t="str">
        <f ca="1" t="shared" si="5"/>
        <v/>
      </c>
      <c r="L59" s="160" t="str">
        <f ca="1" t="shared" si="6"/>
        <v/>
      </c>
      <c r="M59" s="160"/>
      <c r="N59" s="160"/>
      <c r="O59" s="160"/>
      <c r="P59" s="159"/>
      <c r="Q59" s="164"/>
      <c r="R59" s="160"/>
      <c r="S59" s="160" t="str">
        <f ca="1" t="shared" si="7"/>
        <v/>
      </c>
      <c r="T59" s="160" t="str">
        <f ca="1" t="shared" si="8"/>
        <v/>
      </c>
      <c r="U59" s="160" t="str">
        <f ca="1" t="shared" si="9"/>
        <v/>
      </c>
      <c r="V59" s="172"/>
    </row>
    <row r="60" ht="19.5" customHeight="1" spans="1:22">
      <c r="A60" s="43"/>
      <c r="B60" s="29"/>
      <c r="C60" s="29"/>
      <c r="D60" s="29"/>
      <c r="E60" s="29"/>
      <c r="F60" s="29"/>
      <c r="G60" s="29"/>
      <c r="H60" s="42"/>
      <c r="I60" s="43"/>
      <c r="J60" s="165"/>
      <c r="K60" s="168" t="str">
        <f ca="1" t="shared" si="5"/>
        <v/>
      </c>
      <c r="L60" s="29" t="str">
        <f ca="1" t="shared" si="6"/>
        <v/>
      </c>
      <c r="M60" s="29"/>
      <c r="N60" s="29"/>
      <c r="O60" s="29"/>
      <c r="P60" s="43"/>
      <c r="Q60" s="42"/>
      <c r="R60" s="29"/>
      <c r="S60" s="29" t="str">
        <f ca="1" t="shared" si="7"/>
        <v/>
      </c>
      <c r="T60" s="29" t="str">
        <f ca="1" t="shared" si="8"/>
        <v/>
      </c>
      <c r="U60" s="29" t="str">
        <f ca="1" t="shared" si="9"/>
        <v/>
      </c>
      <c r="V60" s="171"/>
    </row>
    <row r="61" ht="19.5" customHeight="1" spans="1:22">
      <c r="A61" s="159"/>
      <c r="B61" s="160"/>
      <c r="C61" s="160"/>
      <c r="D61" s="160"/>
      <c r="E61" s="160"/>
      <c r="F61" s="160"/>
      <c r="G61" s="160"/>
      <c r="H61" s="164"/>
      <c r="I61" s="159"/>
      <c r="J61" s="165"/>
      <c r="K61" s="166" t="str">
        <f ca="1" t="shared" si="5"/>
        <v/>
      </c>
      <c r="L61" s="160" t="str">
        <f ca="1" t="shared" si="6"/>
        <v/>
      </c>
      <c r="M61" s="160"/>
      <c r="N61" s="160"/>
      <c r="O61" s="160"/>
      <c r="P61" s="159"/>
      <c r="Q61" s="164"/>
      <c r="R61" s="160"/>
      <c r="S61" s="160" t="str">
        <f ca="1" t="shared" si="7"/>
        <v/>
      </c>
      <c r="T61" s="160" t="str">
        <f ca="1" t="shared" si="8"/>
        <v/>
      </c>
      <c r="U61" s="160" t="str">
        <f ca="1" t="shared" si="9"/>
        <v/>
      </c>
      <c r="V61" s="172"/>
    </row>
    <row r="62" ht="19.5" customHeight="1" spans="1:22">
      <c r="A62" s="43"/>
      <c r="B62" s="29"/>
      <c r="C62" s="29"/>
      <c r="D62" s="29"/>
      <c r="E62" s="29"/>
      <c r="F62" s="29"/>
      <c r="G62" s="29"/>
      <c r="H62" s="42"/>
      <c r="I62" s="43"/>
      <c r="J62" s="165"/>
      <c r="K62" s="168" t="str">
        <f ca="1" t="shared" si="5"/>
        <v/>
      </c>
      <c r="L62" s="29" t="str">
        <f ca="1" t="shared" si="6"/>
        <v/>
      </c>
      <c r="M62" s="29"/>
      <c r="N62" s="29"/>
      <c r="O62" s="29"/>
      <c r="P62" s="43"/>
      <c r="Q62" s="42"/>
      <c r="R62" s="29"/>
      <c r="S62" s="29" t="str">
        <f ca="1" t="shared" si="7"/>
        <v/>
      </c>
      <c r="T62" s="29" t="str">
        <f ca="1" t="shared" si="8"/>
        <v/>
      </c>
      <c r="U62" s="29" t="str">
        <f ca="1" t="shared" si="9"/>
        <v/>
      </c>
      <c r="V62" s="171"/>
    </row>
    <row r="63" ht="19.5" customHeight="1" spans="1:22">
      <c r="A63" s="159"/>
      <c r="B63" s="160"/>
      <c r="C63" s="160"/>
      <c r="D63" s="160"/>
      <c r="E63" s="160"/>
      <c r="F63" s="160"/>
      <c r="G63" s="160"/>
      <c r="H63" s="164"/>
      <c r="I63" s="159"/>
      <c r="J63" s="165"/>
      <c r="K63" s="166" t="str">
        <f ca="1" t="shared" si="5"/>
        <v/>
      </c>
      <c r="L63" s="160" t="str">
        <f ca="1" t="shared" si="6"/>
        <v/>
      </c>
      <c r="M63" s="160"/>
      <c r="N63" s="160"/>
      <c r="O63" s="160"/>
      <c r="P63" s="159"/>
      <c r="Q63" s="164"/>
      <c r="R63" s="160"/>
      <c r="S63" s="160" t="str">
        <f ca="1" t="shared" si="7"/>
        <v/>
      </c>
      <c r="T63" s="160" t="str">
        <f ca="1" t="shared" si="8"/>
        <v/>
      </c>
      <c r="U63" s="160" t="str">
        <f ca="1" t="shared" si="9"/>
        <v/>
      </c>
      <c r="V63" s="172"/>
    </row>
    <row r="64" ht="19.5" customHeight="1" spans="1:22">
      <c r="A64" s="43"/>
      <c r="B64" s="29"/>
      <c r="C64" s="29"/>
      <c r="D64" s="29"/>
      <c r="E64" s="29"/>
      <c r="F64" s="29"/>
      <c r="G64" s="29"/>
      <c r="H64" s="42"/>
      <c r="I64" s="43"/>
      <c r="J64" s="165"/>
      <c r="K64" s="168" t="str">
        <f ca="1" t="shared" si="5"/>
        <v/>
      </c>
      <c r="L64" s="29" t="str">
        <f ca="1" t="shared" si="6"/>
        <v/>
      </c>
      <c r="M64" s="29"/>
      <c r="N64" s="29"/>
      <c r="O64" s="29"/>
      <c r="P64" s="43"/>
      <c r="Q64" s="42"/>
      <c r="R64" s="29"/>
      <c r="S64" s="29" t="str">
        <f ca="1" t="shared" si="7"/>
        <v/>
      </c>
      <c r="T64" s="29" t="str">
        <f ca="1" t="shared" si="8"/>
        <v/>
      </c>
      <c r="U64" s="29" t="str">
        <f ca="1" t="shared" si="9"/>
        <v/>
      </c>
      <c r="V64" s="171"/>
    </row>
    <row r="65" ht="19.5" customHeight="1" spans="1:22">
      <c r="A65" s="159"/>
      <c r="B65" s="160"/>
      <c r="C65" s="160"/>
      <c r="D65" s="160"/>
      <c r="E65" s="160"/>
      <c r="F65" s="160"/>
      <c r="G65" s="160"/>
      <c r="H65" s="164"/>
      <c r="I65" s="159"/>
      <c r="J65" s="165"/>
      <c r="K65" s="166" t="str">
        <f ca="1" t="shared" si="5"/>
        <v/>
      </c>
      <c r="L65" s="160" t="str">
        <f ca="1" t="shared" si="6"/>
        <v/>
      </c>
      <c r="M65" s="160"/>
      <c r="N65" s="160"/>
      <c r="O65" s="160"/>
      <c r="P65" s="159"/>
      <c r="Q65" s="164"/>
      <c r="R65" s="160"/>
      <c r="S65" s="160" t="str">
        <f ca="1" t="shared" si="7"/>
        <v/>
      </c>
      <c r="T65" s="160" t="str">
        <f ca="1" t="shared" si="8"/>
        <v/>
      </c>
      <c r="U65" s="160" t="str">
        <f ca="1" t="shared" si="9"/>
        <v/>
      </c>
      <c r="V65" s="172"/>
    </row>
    <row r="66" ht="19.5" customHeight="1" spans="1:22">
      <c r="A66" s="43"/>
      <c r="B66" s="29"/>
      <c r="C66" s="29"/>
      <c r="D66" s="29"/>
      <c r="E66" s="29"/>
      <c r="F66" s="29"/>
      <c r="G66" s="29"/>
      <c r="H66" s="42"/>
      <c r="I66" s="43"/>
      <c r="J66" s="165"/>
      <c r="K66" s="168" t="str">
        <f ca="1" t="shared" si="5"/>
        <v/>
      </c>
      <c r="L66" s="29" t="str">
        <f ca="1" t="shared" si="6"/>
        <v/>
      </c>
      <c r="M66" s="29"/>
      <c r="N66" s="29"/>
      <c r="O66" s="29"/>
      <c r="P66" s="43"/>
      <c r="Q66" s="42"/>
      <c r="R66" s="29"/>
      <c r="S66" s="29" t="str">
        <f ca="1" t="shared" si="7"/>
        <v/>
      </c>
      <c r="T66" s="29" t="str">
        <f ca="1" t="shared" si="8"/>
        <v/>
      </c>
      <c r="U66" s="29" t="str">
        <f ca="1" t="shared" si="9"/>
        <v/>
      </c>
      <c r="V66" s="171"/>
    </row>
    <row r="67" ht="19.5" customHeight="1" spans="1:22">
      <c r="A67" s="159"/>
      <c r="B67" s="160"/>
      <c r="C67" s="160"/>
      <c r="D67" s="160"/>
      <c r="E67" s="160"/>
      <c r="F67" s="160"/>
      <c r="G67" s="160"/>
      <c r="H67" s="164"/>
      <c r="I67" s="159"/>
      <c r="J67" s="165"/>
      <c r="K67" s="166" t="str">
        <f ca="1" t="shared" si="5"/>
        <v/>
      </c>
      <c r="L67" s="160" t="str">
        <f ca="1" t="shared" si="6"/>
        <v/>
      </c>
      <c r="M67" s="160"/>
      <c r="N67" s="160"/>
      <c r="O67" s="160"/>
      <c r="P67" s="159"/>
      <c r="Q67" s="164"/>
      <c r="R67" s="160"/>
      <c r="S67" s="160" t="str">
        <f ca="1" t="shared" si="7"/>
        <v/>
      </c>
      <c r="T67" s="160" t="str">
        <f ca="1" t="shared" si="8"/>
        <v/>
      </c>
      <c r="U67" s="160" t="str">
        <f ca="1" t="shared" si="9"/>
        <v/>
      </c>
      <c r="V67" s="172"/>
    </row>
    <row r="68" ht="19.5" customHeight="1" spans="1:22">
      <c r="A68" s="43"/>
      <c r="B68" s="29"/>
      <c r="C68" s="29"/>
      <c r="D68" s="29"/>
      <c r="E68" s="29"/>
      <c r="F68" s="29"/>
      <c r="G68" s="29"/>
      <c r="H68" s="42"/>
      <c r="I68" s="43"/>
      <c r="J68" s="165"/>
      <c r="K68" s="168" t="str">
        <f ca="1" t="shared" si="5"/>
        <v/>
      </c>
      <c r="L68" s="29" t="str">
        <f ca="1" t="shared" si="6"/>
        <v/>
      </c>
      <c r="M68" s="29"/>
      <c r="N68" s="29"/>
      <c r="O68" s="29"/>
      <c r="P68" s="43"/>
      <c r="Q68" s="42"/>
      <c r="R68" s="29"/>
      <c r="S68" s="29" t="str">
        <f ca="1" t="shared" si="7"/>
        <v/>
      </c>
      <c r="T68" s="29" t="str">
        <f ca="1" t="shared" si="8"/>
        <v/>
      </c>
      <c r="U68" s="29" t="str">
        <f ca="1" t="shared" si="9"/>
        <v/>
      </c>
      <c r="V68" s="171"/>
    </row>
    <row r="69" ht="19.5" customHeight="1" spans="1:22">
      <c r="A69" s="159"/>
      <c r="B69" s="160"/>
      <c r="C69" s="160"/>
      <c r="D69" s="160"/>
      <c r="E69" s="160"/>
      <c r="F69" s="160"/>
      <c r="G69" s="160"/>
      <c r="H69" s="164"/>
      <c r="I69" s="159"/>
      <c r="J69" s="165"/>
      <c r="K69" s="166" t="str">
        <f ca="1" t="shared" si="5"/>
        <v/>
      </c>
      <c r="L69" s="160" t="str">
        <f ca="1" t="shared" si="6"/>
        <v/>
      </c>
      <c r="M69" s="160"/>
      <c r="N69" s="160"/>
      <c r="O69" s="160"/>
      <c r="P69" s="159"/>
      <c r="Q69" s="164"/>
      <c r="R69" s="160"/>
      <c r="S69" s="160" t="str">
        <f ca="1" t="shared" si="7"/>
        <v/>
      </c>
      <c r="T69" s="160" t="str">
        <f ca="1" t="shared" si="8"/>
        <v/>
      </c>
      <c r="U69" s="160" t="str">
        <f ca="1" t="shared" si="9"/>
        <v/>
      </c>
      <c r="V69" s="172"/>
    </row>
    <row r="70" ht="19.5" customHeight="1" spans="1:22">
      <c r="A70" s="43"/>
      <c r="B70" s="29"/>
      <c r="C70" s="29"/>
      <c r="D70" s="29"/>
      <c r="E70" s="29"/>
      <c r="F70" s="29"/>
      <c r="G70" s="29"/>
      <c r="H70" s="42"/>
      <c r="I70" s="43"/>
      <c r="J70" s="165"/>
      <c r="K70" s="168" t="str">
        <f ca="1" t="shared" si="5"/>
        <v/>
      </c>
      <c r="L70" s="29" t="str">
        <f ca="1" t="shared" si="6"/>
        <v/>
      </c>
      <c r="M70" s="29"/>
      <c r="N70" s="29"/>
      <c r="O70" s="29"/>
      <c r="P70" s="43"/>
      <c r="Q70" s="42"/>
      <c r="R70" s="29"/>
      <c r="S70" s="29" t="str">
        <f ca="1" t="shared" si="7"/>
        <v/>
      </c>
      <c r="T70" s="29" t="str">
        <f ca="1" t="shared" si="8"/>
        <v/>
      </c>
      <c r="U70" s="29" t="str">
        <f ca="1" t="shared" si="9"/>
        <v/>
      </c>
      <c r="V70" s="171"/>
    </row>
    <row r="71" ht="19.5" customHeight="1" spans="1:22">
      <c r="A71" s="159"/>
      <c r="B71" s="160"/>
      <c r="C71" s="160"/>
      <c r="D71" s="160"/>
      <c r="E71" s="160"/>
      <c r="F71" s="160"/>
      <c r="G71" s="160"/>
      <c r="H71" s="164"/>
      <c r="I71" s="159"/>
      <c r="J71" s="165"/>
      <c r="K71" s="166" t="str">
        <f ca="1" t="shared" si="5"/>
        <v/>
      </c>
      <c r="L71" s="160" t="str">
        <f ca="1" t="shared" si="6"/>
        <v/>
      </c>
      <c r="M71" s="160"/>
      <c r="N71" s="160"/>
      <c r="O71" s="160"/>
      <c r="P71" s="159"/>
      <c r="Q71" s="164"/>
      <c r="R71" s="160"/>
      <c r="S71" s="160" t="str">
        <f ca="1" t="shared" si="7"/>
        <v/>
      </c>
      <c r="T71" s="160" t="str">
        <f ca="1" t="shared" si="8"/>
        <v/>
      </c>
      <c r="U71" s="160" t="str">
        <f ca="1" t="shared" si="9"/>
        <v/>
      </c>
      <c r="V71" s="172"/>
    </row>
    <row r="72" ht="19.5" customHeight="1" spans="1:22">
      <c r="A72" s="43"/>
      <c r="B72" s="29"/>
      <c r="C72" s="29"/>
      <c r="D72" s="29"/>
      <c r="E72" s="29"/>
      <c r="F72" s="29"/>
      <c r="G72" s="29"/>
      <c r="H72" s="42"/>
      <c r="I72" s="43"/>
      <c r="J72" s="165"/>
      <c r="K72" s="168" t="str">
        <f ca="1" t="shared" si="5"/>
        <v/>
      </c>
      <c r="L72" s="29" t="str">
        <f ca="1" t="shared" si="6"/>
        <v/>
      </c>
      <c r="M72" s="29"/>
      <c r="N72" s="29"/>
      <c r="O72" s="29"/>
      <c r="P72" s="43"/>
      <c r="Q72" s="42"/>
      <c r="R72" s="29"/>
      <c r="S72" s="29" t="str">
        <f ca="1" t="shared" si="7"/>
        <v/>
      </c>
      <c r="T72" s="29" t="str">
        <f ca="1" t="shared" si="8"/>
        <v/>
      </c>
      <c r="U72" s="29" t="str">
        <f ca="1" t="shared" si="9"/>
        <v/>
      </c>
      <c r="V72" s="171"/>
    </row>
    <row r="73" ht="19.5" customHeight="1" spans="1:22">
      <c r="A73" s="159"/>
      <c r="B73" s="160"/>
      <c r="C73" s="160"/>
      <c r="D73" s="160"/>
      <c r="E73" s="160"/>
      <c r="F73" s="160"/>
      <c r="G73" s="160"/>
      <c r="H73" s="164"/>
      <c r="I73" s="159"/>
      <c r="J73" s="165"/>
      <c r="K73" s="166" t="str">
        <f ca="1" t="shared" si="5"/>
        <v/>
      </c>
      <c r="L73" s="160" t="str">
        <f ca="1" t="shared" si="6"/>
        <v/>
      </c>
      <c r="M73" s="160"/>
      <c r="N73" s="160"/>
      <c r="O73" s="160"/>
      <c r="P73" s="159"/>
      <c r="Q73" s="164"/>
      <c r="R73" s="160"/>
      <c r="S73" s="160" t="str">
        <f ca="1" t="shared" si="7"/>
        <v/>
      </c>
      <c r="T73" s="160" t="str">
        <f ca="1" t="shared" si="8"/>
        <v/>
      </c>
      <c r="U73" s="160" t="str">
        <f ca="1" t="shared" si="9"/>
        <v/>
      </c>
      <c r="V73" s="172"/>
    </row>
    <row r="74" ht="19.5" customHeight="1" spans="1:22">
      <c r="A74" s="43"/>
      <c r="B74" s="29"/>
      <c r="C74" s="29"/>
      <c r="D74" s="29"/>
      <c r="E74" s="29"/>
      <c r="F74" s="29"/>
      <c r="G74" s="29"/>
      <c r="H74" s="42"/>
      <c r="I74" s="43"/>
      <c r="J74" s="165"/>
      <c r="K74" s="168" t="str">
        <f ca="1" t="shared" si="5"/>
        <v/>
      </c>
      <c r="L74" s="29" t="str">
        <f ca="1" t="shared" si="6"/>
        <v/>
      </c>
      <c r="M74" s="29"/>
      <c r="N74" s="29"/>
      <c r="O74" s="29"/>
      <c r="P74" s="43"/>
      <c r="Q74" s="42"/>
      <c r="R74" s="29"/>
      <c r="S74" s="29" t="str">
        <f ca="1" t="shared" si="7"/>
        <v/>
      </c>
      <c r="T74" s="29" t="str">
        <f ca="1" t="shared" si="8"/>
        <v/>
      </c>
      <c r="U74" s="29" t="str">
        <f ca="1" t="shared" si="9"/>
        <v/>
      </c>
      <c r="V74" s="171"/>
    </row>
    <row r="75" ht="19.5" customHeight="1" spans="1:22">
      <c r="A75" s="159"/>
      <c r="B75" s="160"/>
      <c r="C75" s="160"/>
      <c r="D75" s="160"/>
      <c r="E75" s="160"/>
      <c r="F75" s="160"/>
      <c r="G75" s="160"/>
      <c r="H75" s="164"/>
      <c r="I75" s="159"/>
      <c r="J75" s="165"/>
      <c r="K75" s="166" t="str">
        <f ca="1" t="shared" si="5"/>
        <v/>
      </c>
      <c r="L75" s="160" t="str">
        <f ca="1" t="shared" si="6"/>
        <v/>
      </c>
      <c r="M75" s="160"/>
      <c r="N75" s="160"/>
      <c r="O75" s="160"/>
      <c r="P75" s="159"/>
      <c r="Q75" s="164"/>
      <c r="R75" s="160"/>
      <c r="S75" s="160" t="str">
        <f ca="1" t="shared" si="7"/>
        <v/>
      </c>
      <c r="T75" s="160" t="str">
        <f ca="1" t="shared" si="8"/>
        <v/>
      </c>
      <c r="U75" s="160" t="str">
        <f ca="1" t="shared" si="9"/>
        <v/>
      </c>
      <c r="V75" s="172"/>
    </row>
    <row r="76" ht="19.5" customHeight="1" spans="1:22">
      <c r="A76" s="43"/>
      <c r="B76" s="29"/>
      <c r="C76" s="29"/>
      <c r="D76" s="29"/>
      <c r="E76" s="29"/>
      <c r="F76" s="29"/>
      <c r="G76" s="29"/>
      <c r="H76" s="42"/>
      <c r="I76" s="43"/>
      <c r="J76" s="165"/>
      <c r="K76" s="168" t="str">
        <f ca="1" t="shared" si="5"/>
        <v/>
      </c>
      <c r="L76" s="29" t="str">
        <f ca="1" t="shared" si="6"/>
        <v/>
      </c>
      <c r="M76" s="29"/>
      <c r="N76" s="29"/>
      <c r="O76" s="29"/>
      <c r="P76" s="43"/>
      <c r="Q76" s="42"/>
      <c r="R76" s="29"/>
      <c r="S76" s="29" t="str">
        <f ca="1" t="shared" si="7"/>
        <v/>
      </c>
      <c r="T76" s="29" t="str">
        <f ca="1" t="shared" si="8"/>
        <v/>
      </c>
      <c r="U76" s="29" t="str">
        <f ca="1" t="shared" si="9"/>
        <v/>
      </c>
      <c r="V76" s="171"/>
    </row>
    <row r="77" ht="19.5" customHeight="1" spans="1:22">
      <c r="A77" s="159"/>
      <c r="B77" s="160"/>
      <c r="C77" s="160"/>
      <c r="D77" s="160"/>
      <c r="E77" s="160"/>
      <c r="F77" s="160"/>
      <c r="G77" s="160"/>
      <c r="H77" s="164"/>
      <c r="I77" s="159"/>
      <c r="J77" s="165"/>
      <c r="K77" s="166" t="str">
        <f ca="1" t="shared" si="5"/>
        <v/>
      </c>
      <c r="L77" s="160" t="str">
        <f ca="1" t="shared" si="6"/>
        <v/>
      </c>
      <c r="M77" s="160"/>
      <c r="N77" s="160"/>
      <c r="O77" s="160"/>
      <c r="P77" s="159"/>
      <c r="Q77" s="164"/>
      <c r="R77" s="160"/>
      <c r="S77" s="160" t="str">
        <f ca="1" t="shared" si="7"/>
        <v/>
      </c>
      <c r="T77" s="160" t="str">
        <f ca="1" t="shared" si="8"/>
        <v/>
      </c>
      <c r="U77" s="160" t="str">
        <f ca="1" t="shared" si="9"/>
        <v/>
      </c>
      <c r="V77" s="172"/>
    </row>
    <row r="78" ht="19.5" customHeight="1" spans="1:22">
      <c r="A78" s="43"/>
      <c r="B78" s="29"/>
      <c r="C78" s="29"/>
      <c r="D78" s="29"/>
      <c r="E78" s="29"/>
      <c r="F78" s="29"/>
      <c r="G78" s="29"/>
      <c r="H78" s="42"/>
      <c r="I78" s="43"/>
      <c r="J78" s="165"/>
      <c r="K78" s="168" t="str">
        <f ca="1" t="shared" si="5"/>
        <v/>
      </c>
      <c r="L78" s="29" t="str">
        <f ca="1" t="shared" si="6"/>
        <v/>
      </c>
      <c r="M78" s="29"/>
      <c r="N78" s="29"/>
      <c r="O78" s="29"/>
      <c r="P78" s="43"/>
      <c r="Q78" s="42"/>
      <c r="R78" s="29"/>
      <c r="S78" s="29" t="str">
        <f ca="1" t="shared" si="7"/>
        <v/>
      </c>
      <c r="T78" s="29" t="str">
        <f ca="1" t="shared" si="8"/>
        <v/>
      </c>
      <c r="U78" s="29" t="str">
        <f ca="1" t="shared" si="9"/>
        <v/>
      </c>
      <c r="V78" s="171"/>
    </row>
    <row r="79" ht="19.5" customHeight="1" spans="1:22">
      <c r="A79" s="159"/>
      <c r="B79" s="160"/>
      <c r="C79" s="160"/>
      <c r="D79" s="160"/>
      <c r="E79" s="160"/>
      <c r="F79" s="160"/>
      <c r="G79" s="160"/>
      <c r="H79" s="164"/>
      <c r="I79" s="159"/>
      <c r="J79" s="165"/>
      <c r="K79" s="166" t="str">
        <f ca="1" t="shared" ref="K79:K142" si="10">IF(I79="","",I79-TODAY())</f>
        <v/>
      </c>
      <c r="L79" s="160" t="str">
        <f ca="1" t="shared" ref="L79:L142" si="11">IF(I79="","",IF(I79-TODAY()&lt;=3,"High",IF(I79-TODAY()&lt;=7,"Medium","Low")))</f>
        <v/>
      </c>
      <c r="M79" s="160"/>
      <c r="N79" s="160"/>
      <c r="O79" s="160"/>
      <c r="P79" s="159"/>
      <c r="Q79" s="164"/>
      <c r="R79" s="160"/>
      <c r="S79" s="160" t="str">
        <f ca="1" t="shared" ref="S79:S142" si="12">IF(H79="","",IFERROR(IF(H79&gt;5000000,30,IF(H79&gt;=1000000,20,10))+IF(I79-TODAY()&gt;14,30,IF(I79-TODAY()&gt;=7,20,10))+IF(R79="Won",40,IF(R79="Lost",10,20)),""))</f>
        <v/>
      </c>
      <c r="T79" s="160" t="str">
        <f ca="1" t="shared" ref="T79:T142" si="13">IF(OR(H79="",I79=""),"",IF(AND(H79&gt;5000000,I79-TODAY()&gt;10),"🚨 FLAG","—"))</f>
        <v/>
      </c>
      <c r="U79" s="160" t="str">
        <f ca="1" t="shared" ref="U79:U142" si="14">IF(S79="","",IF(S79&gt;=70,"✅ Highly Recommended",IF(S79&gt;=50,"🔶 Consider","❌ Low Priority")))</f>
        <v/>
      </c>
      <c r="V79" s="172"/>
    </row>
    <row r="80" ht="19.5" customHeight="1" spans="1:22">
      <c r="A80" s="43"/>
      <c r="B80" s="29"/>
      <c r="C80" s="29"/>
      <c r="D80" s="29"/>
      <c r="E80" s="29"/>
      <c r="F80" s="29"/>
      <c r="G80" s="29"/>
      <c r="H80" s="42"/>
      <c r="I80" s="43"/>
      <c r="J80" s="165"/>
      <c r="K80" s="168" t="str">
        <f ca="1" t="shared" si="10"/>
        <v/>
      </c>
      <c r="L80" s="29" t="str">
        <f ca="1" t="shared" si="11"/>
        <v/>
      </c>
      <c r="M80" s="29"/>
      <c r="N80" s="29"/>
      <c r="O80" s="29"/>
      <c r="P80" s="43"/>
      <c r="Q80" s="42"/>
      <c r="R80" s="29"/>
      <c r="S80" s="29" t="str">
        <f ca="1" t="shared" si="12"/>
        <v/>
      </c>
      <c r="T80" s="29" t="str">
        <f ca="1" t="shared" si="13"/>
        <v/>
      </c>
      <c r="U80" s="29" t="str">
        <f ca="1" t="shared" si="14"/>
        <v/>
      </c>
      <c r="V80" s="171"/>
    </row>
    <row r="81" ht="19.5" customHeight="1" spans="1:22">
      <c r="A81" s="159"/>
      <c r="B81" s="160"/>
      <c r="C81" s="160"/>
      <c r="D81" s="160"/>
      <c r="E81" s="160"/>
      <c r="F81" s="160"/>
      <c r="G81" s="160"/>
      <c r="H81" s="164"/>
      <c r="I81" s="159"/>
      <c r="J81" s="165"/>
      <c r="K81" s="166" t="str">
        <f ca="1" t="shared" si="10"/>
        <v/>
      </c>
      <c r="L81" s="160" t="str">
        <f ca="1" t="shared" si="11"/>
        <v/>
      </c>
      <c r="M81" s="160"/>
      <c r="N81" s="160"/>
      <c r="O81" s="160"/>
      <c r="P81" s="159"/>
      <c r="Q81" s="164"/>
      <c r="R81" s="160"/>
      <c r="S81" s="160" t="str">
        <f ca="1" t="shared" si="12"/>
        <v/>
      </c>
      <c r="T81" s="160" t="str">
        <f ca="1" t="shared" si="13"/>
        <v/>
      </c>
      <c r="U81" s="160" t="str">
        <f ca="1" t="shared" si="14"/>
        <v/>
      </c>
      <c r="V81" s="172"/>
    </row>
    <row r="82" ht="19.5" customHeight="1" spans="1:22">
      <c r="A82" s="43"/>
      <c r="B82" s="29"/>
      <c r="C82" s="29"/>
      <c r="D82" s="29"/>
      <c r="E82" s="29"/>
      <c r="F82" s="29"/>
      <c r="G82" s="29"/>
      <c r="H82" s="42"/>
      <c r="I82" s="43"/>
      <c r="J82" s="165"/>
      <c r="K82" s="168" t="str">
        <f ca="1" t="shared" si="10"/>
        <v/>
      </c>
      <c r="L82" s="29" t="str">
        <f ca="1" t="shared" si="11"/>
        <v/>
      </c>
      <c r="M82" s="29"/>
      <c r="N82" s="29"/>
      <c r="O82" s="29"/>
      <c r="P82" s="43"/>
      <c r="Q82" s="42"/>
      <c r="R82" s="29"/>
      <c r="S82" s="29" t="str">
        <f ca="1" t="shared" si="12"/>
        <v/>
      </c>
      <c r="T82" s="29" t="str">
        <f ca="1" t="shared" si="13"/>
        <v/>
      </c>
      <c r="U82" s="29" t="str">
        <f ca="1" t="shared" si="14"/>
        <v/>
      </c>
      <c r="V82" s="171"/>
    </row>
    <row r="83" ht="19.5" customHeight="1" spans="1:22">
      <c r="A83" s="159"/>
      <c r="B83" s="160"/>
      <c r="C83" s="160"/>
      <c r="D83" s="160"/>
      <c r="E83" s="160"/>
      <c r="F83" s="160"/>
      <c r="G83" s="160"/>
      <c r="H83" s="164"/>
      <c r="I83" s="159"/>
      <c r="J83" s="165"/>
      <c r="K83" s="166" t="str">
        <f ca="1" t="shared" si="10"/>
        <v/>
      </c>
      <c r="L83" s="160" t="str">
        <f ca="1" t="shared" si="11"/>
        <v/>
      </c>
      <c r="M83" s="160"/>
      <c r="N83" s="160"/>
      <c r="O83" s="160"/>
      <c r="P83" s="159"/>
      <c r="Q83" s="164"/>
      <c r="R83" s="160"/>
      <c r="S83" s="160" t="str">
        <f ca="1" t="shared" si="12"/>
        <v/>
      </c>
      <c r="T83" s="160" t="str">
        <f ca="1" t="shared" si="13"/>
        <v/>
      </c>
      <c r="U83" s="160" t="str">
        <f ca="1" t="shared" si="14"/>
        <v/>
      </c>
      <c r="V83" s="172"/>
    </row>
    <row r="84" ht="19.5" customHeight="1" spans="1:22">
      <c r="A84" s="43"/>
      <c r="B84" s="29"/>
      <c r="C84" s="29"/>
      <c r="D84" s="29"/>
      <c r="E84" s="29"/>
      <c r="F84" s="29"/>
      <c r="G84" s="29"/>
      <c r="H84" s="42"/>
      <c r="I84" s="43"/>
      <c r="J84" s="165"/>
      <c r="K84" s="168" t="str">
        <f ca="1" t="shared" si="10"/>
        <v/>
      </c>
      <c r="L84" s="29" t="str">
        <f ca="1" t="shared" si="11"/>
        <v/>
      </c>
      <c r="M84" s="29"/>
      <c r="N84" s="29"/>
      <c r="O84" s="29"/>
      <c r="P84" s="43"/>
      <c r="Q84" s="42"/>
      <c r="R84" s="29"/>
      <c r="S84" s="29" t="str">
        <f ca="1" t="shared" si="12"/>
        <v/>
      </c>
      <c r="T84" s="29" t="str">
        <f ca="1" t="shared" si="13"/>
        <v/>
      </c>
      <c r="U84" s="29" t="str">
        <f ca="1" t="shared" si="14"/>
        <v/>
      </c>
      <c r="V84" s="171"/>
    </row>
    <row r="85" ht="19.5" customHeight="1" spans="1:22">
      <c r="A85" s="159"/>
      <c r="B85" s="160"/>
      <c r="C85" s="160"/>
      <c r="D85" s="160"/>
      <c r="E85" s="160"/>
      <c r="F85" s="160"/>
      <c r="G85" s="160"/>
      <c r="H85" s="164"/>
      <c r="I85" s="159"/>
      <c r="J85" s="165"/>
      <c r="K85" s="166" t="str">
        <f ca="1" t="shared" si="10"/>
        <v/>
      </c>
      <c r="L85" s="160" t="str">
        <f ca="1" t="shared" si="11"/>
        <v/>
      </c>
      <c r="M85" s="160"/>
      <c r="N85" s="160"/>
      <c r="O85" s="160"/>
      <c r="P85" s="159"/>
      <c r="Q85" s="164"/>
      <c r="R85" s="160"/>
      <c r="S85" s="160" t="str">
        <f ca="1" t="shared" si="12"/>
        <v/>
      </c>
      <c r="T85" s="160" t="str">
        <f ca="1" t="shared" si="13"/>
        <v/>
      </c>
      <c r="U85" s="160" t="str">
        <f ca="1" t="shared" si="14"/>
        <v/>
      </c>
      <c r="V85" s="172"/>
    </row>
    <row r="86" ht="19.5" customHeight="1" spans="1:22">
      <c r="A86" s="43"/>
      <c r="B86" s="29"/>
      <c r="C86" s="29"/>
      <c r="D86" s="29"/>
      <c r="E86" s="29"/>
      <c r="F86" s="29"/>
      <c r="G86" s="29"/>
      <c r="H86" s="42"/>
      <c r="I86" s="43"/>
      <c r="J86" s="165"/>
      <c r="K86" s="168" t="str">
        <f ca="1" t="shared" si="10"/>
        <v/>
      </c>
      <c r="L86" s="29" t="str">
        <f ca="1" t="shared" si="11"/>
        <v/>
      </c>
      <c r="M86" s="29"/>
      <c r="N86" s="29"/>
      <c r="O86" s="29"/>
      <c r="P86" s="43"/>
      <c r="Q86" s="42"/>
      <c r="R86" s="29"/>
      <c r="S86" s="29" t="str">
        <f ca="1" t="shared" si="12"/>
        <v/>
      </c>
      <c r="T86" s="29" t="str">
        <f ca="1" t="shared" si="13"/>
        <v/>
      </c>
      <c r="U86" s="29" t="str">
        <f ca="1" t="shared" si="14"/>
        <v/>
      </c>
      <c r="V86" s="171"/>
    </row>
    <row r="87" ht="19.5" customHeight="1" spans="1:22">
      <c r="A87" s="159"/>
      <c r="B87" s="160"/>
      <c r="C87" s="160"/>
      <c r="D87" s="160"/>
      <c r="E87" s="160"/>
      <c r="F87" s="160"/>
      <c r="G87" s="160"/>
      <c r="H87" s="164"/>
      <c r="I87" s="159"/>
      <c r="J87" s="165"/>
      <c r="K87" s="166" t="str">
        <f ca="1" t="shared" si="10"/>
        <v/>
      </c>
      <c r="L87" s="160" t="str">
        <f ca="1" t="shared" si="11"/>
        <v/>
      </c>
      <c r="M87" s="160"/>
      <c r="N87" s="160"/>
      <c r="O87" s="160"/>
      <c r="P87" s="159"/>
      <c r="Q87" s="164"/>
      <c r="R87" s="160"/>
      <c r="S87" s="160" t="str">
        <f ca="1" t="shared" si="12"/>
        <v/>
      </c>
      <c r="T87" s="160" t="str">
        <f ca="1" t="shared" si="13"/>
        <v/>
      </c>
      <c r="U87" s="160" t="str">
        <f ca="1" t="shared" si="14"/>
        <v/>
      </c>
      <c r="V87" s="172"/>
    </row>
    <row r="88" ht="19.5" customHeight="1" spans="1:22">
      <c r="A88" s="43"/>
      <c r="B88" s="29"/>
      <c r="C88" s="29"/>
      <c r="D88" s="29"/>
      <c r="E88" s="29"/>
      <c r="F88" s="29"/>
      <c r="G88" s="29"/>
      <c r="H88" s="42"/>
      <c r="I88" s="43"/>
      <c r="J88" s="165"/>
      <c r="K88" s="168" t="str">
        <f ca="1" t="shared" si="10"/>
        <v/>
      </c>
      <c r="L88" s="29" t="str">
        <f ca="1" t="shared" si="11"/>
        <v/>
      </c>
      <c r="M88" s="29"/>
      <c r="N88" s="29"/>
      <c r="O88" s="29"/>
      <c r="P88" s="43"/>
      <c r="Q88" s="42"/>
      <c r="R88" s="29"/>
      <c r="S88" s="29" t="str">
        <f ca="1" t="shared" si="12"/>
        <v/>
      </c>
      <c r="T88" s="29" t="str">
        <f ca="1" t="shared" si="13"/>
        <v/>
      </c>
      <c r="U88" s="29" t="str">
        <f ca="1" t="shared" si="14"/>
        <v/>
      </c>
      <c r="V88" s="171"/>
    </row>
    <row r="89" ht="19.5" customHeight="1" spans="1:22">
      <c r="A89" s="159"/>
      <c r="B89" s="160"/>
      <c r="C89" s="160"/>
      <c r="D89" s="160"/>
      <c r="E89" s="160"/>
      <c r="F89" s="160"/>
      <c r="G89" s="160"/>
      <c r="H89" s="164"/>
      <c r="I89" s="159"/>
      <c r="J89" s="165"/>
      <c r="K89" s="166" t="str">
        <f ca="1" t="shared" si="10"/>
        <v/>
      </c>
      <c r="L89" s="160" t="str">
        <f ca="1" t="shared" si="11"/>
        <v/>
      </c>
      <c r="M89" s="160"/>
      <c r="N89" s="160"/>
      <c r="O89" s="160"/>
      <c r="P89" s="159"/>
      <c r="Q89" s="164"/>
      <c r="R89" s="160"/>
      <c r="S89" s="160" t="str">
        <f ca="1" t="shared" si="12"/>
        <v/>
      </c>
      <c r="T89" s="160" t="str">
        <f ca="1" t="shared" si="13"/>
        <v/>
      </c>
      <c r="U89" s="160" t="str">
        <f ca="1" t="shared" si="14"/>
        <v/>
      </c>
      <c r="V89" s="172"/>
    </row>
    <row r="90" ht="19.5" customHeight="1" spans="1:22">
      <c r="A90" s="43"/>
      <c r="B90" s="29"/>
      <c r="C90" s="29"/>
      <c r="D90" s="29"/>
      <c r="E90" s="29"/>
      <c r="F90" s="29"/>
      <c r="G90" s="29"/>
      <c r="H90" s="42"/>
      <c r="I90" s="43"/>
      <c r="J90" s="165"/>
      <c r="K90" s="168" t="str">
        <f ca="1" t="shared" si="10"/>
        <v/>
      </c>
      <c r="L90" s="29" t="str">
        <f ca="1" t="shared" si="11"/>
        <v/>
      </c>
      <c r="M90" s="29"/>
      <c r="N90" s="29"/>
      <c r="O90" s="29"/>
      <c r="P90" s="43"/>
      <c r="Q90" s="42"/>
      <c r="R90" s="29"/>
      <c r="S90" s="29" t="str">
        <f ca="1" t="shared" si="12"/>
        <v/>
      </c>
      <c r="T90" s="29" t="str">
        <f ca="1" t="shared" si="13"/>
        <v/>
      </c>
      <c r="U90" s="29" t="str">
        <f ca="1" t="shared" si="14"/>
        <v/>
      </c>
      <c r="V90" s="171"/>
    </row>
    <row r="91" ht="19.5" customHeight="1" spans="1:22">
      <c r="A91" s="159"/>
      <c r="B91" s="160"/>
      <c r="C91" s="160"/>
      <c r="D91" s="160"/>
      <c r="E91" s="160"/>
      <c r="F91" s="160"/>
      <c r="G91" s="160"/>
      <c r="H91" s="164"/>
      <c r="I91" s="159"/>
      <c r="J91" s="165"/>
      <c r="K91" s="166" t="str">
        <f ca="1" t="shared" si="10"/>
        <v/>
      </c>
      <c r="L91" s="160" t="str">
        <f ca="1" t="shared" si="11"/>
        <v/>
      </c>
      <c r="M91" s="160"/>
      <c r="N91" s="160"/>
      <c r="O91" s="160"/>
      <c r="P91" s="159"/>
      <c r="Q91" s="164"/>
      <c r="R91" s="160"/>
      <c r="S91" s="160" t="str">
        <f ca="1" t="shared" si="12"/>
        <v/>
      </c>
      <c r="T91" s="160" t="str">
        <f ca="1" t="shared" si="13"/>
        <v/>
      </c>
      <c r="U91" s="160" t="str">
        <f ca="1" t="shared" si="14"/>
        <v/>
      </c>
      <c r="V91" s="172"/>
    </row>
    <row r="92" ht="19.5" customHeight="1" spans="1:22">
      <c r="A92" s="43"/>
      <c r="B92" s="29"/>
      <c r="C92" s="29"/>
      <c r="D92" s="29"/>
      <c r="E92" s="29"/>
      <c r="F92" s="29"/>
      <c r="G92" s="29"/>
      <c r="H92" s="42"/>
      <c r="I92" s="43"/>
      <c r="J92" s="165"/>
      <c r="K92" s="168" t="str">
        <f ca="1" t="shared" si="10"/>
        <v/>
      </c>
      <c r="L92" s="29" t="str">
        <f ca="1" t="shared" si="11"/>
        <v/>
      </c>
      <c r="M92" s="29"/>
      <c r="N92" s="29"/>
      <c r="O92" s="29"/>
      <c r="P92" s="43"/>
      <c r="Q92" s="42"/>
      <c r="R92" s="29"/>
      <c r="S92" s="29" t="str">
        <f ca="1" t="shared" si="12"/>
        <v/>
      </c>
      <c r="T92" s="29" t="str">
        <f ca="1" t="shared" si="13"/>
        <v/>
      </c>
      <c r="U92" s="29" t="str">
        <f ca="1" t="shared" si="14"/>
        <v/>
      </c>
      <c r="V92" s="171"/>
    </row>
    <row r="93" ht="19.5" customHeight="1" spans="1:22">
      <c r="A93" s="159"/>
      <c r="B93" s="160"/>
      <c r="C93" s="160"/>
      <c r="D93" s="160"/>
      <c r="E93" s="160"/>
      <c r="F93" s="160"/>
      <c r="G93" s="160"/>
      <c r="H93" s="164"/>
      <c r="I93" s="159"/>
      <c r="J93" s="165"/>
      <c r="K93" s="166" t="str">
        <f ca="1" t="shared" si="10"/>
        <v/>
      </c>
      <c r="L93" s="160" t="str">
        <f ca="1" t="shared" si="11"/>
        <v/>
      </c>
      <c r="M93" s="160"/>
      <c r="N93" s="160"/>
      <c r="O93" s="160"/>
      <c r="P93" s="159"/>
      <c r="Q93" s="164"/>
      <c r="R93" s="160"/>
      <c r="S93" s="160" t="str">
        <f ca="1" t="shared" si="12"/>
        <v/>
      </c>
      <c r="T93" s="160" t="str">
        <f ca="1" t="shared" si="13"/>
        <v/>
      </c>
      <c r="U93" s="160" t="str">
        <f ca="1" t="shared" si="14"/>
        <v/>
      </c>
      <c r="V93" s="172"/>
    </row>
    <row r="94" ht="19.5" customHeight="1" spans="1:22">
      <c r="A94" s="43"/>
      <c r="B94" s="29"/>
      <c r="C94" s="29"/>
      <c r="D94" s="29"/>
      <c r="E94" s="29"/>
      <c r="F94" s="29"/>
      <c r="G94" s="29"/>
      <c r="H94" s="42"/>
      <c r="I94" s="43"/>
      <c r="J94" s="165"/>
      <c r="K94" s="168" t="str">
        <f ca="1" t="shared" si="10"/>
        <v/>
      </c>
      <c r="L94" s="29" t="str">
        <f ca="1" t="shared" si="11"/>
        <v/>
      </c>
      <c r="M94" s="29"/>
      <c r="N94" s="29"/>
      <c r="O94" s="29"/>
      <c r="P94" s="43"/>
      <c r="Q94" s="42"/>
      <c r="R94" s="29"/>
      <c r="S94" s="29" t="str">
        <f ca="1" t="shared" si="12"/>
        <v/>
      </c>
      <c r="T94" s="29" t="str">
        <f ca="1" t="shared" si="13"/>
        <v/>
      </c>
      <c r="U94" s="29" t="str">
        <f ca="1" t="shared" si="14"/>
        <v/>
      </c>
      <c r="V94" s="171"/>
    </row>
    <row r="95" ht="19.5" customHeight="1" spans="1:22">
      <c r="A95" s="159"/>
      <c r="B95" s="160"/>
      <c r="C95" s="160"/>
      <c r="D95" s="160"/>
      <c r="E95" s="160"/>
      <c r="F95" s="160"/>
      <c r="G95" s="160"/>
      <c r="H95" s="164"/>
      <c r="I95" s="159"/>
      <c r="J95" s="165"/>
      <c r="K95" s="166" t="str">
        <f ca="1" t="shared" si="10"/>
        <v/>
      </c>
      <c r="L95" s="160" t="str">
        <f ca="1" t="shared" si="11"/>
        <v/>
      </c>
      <c r="M95" s="160"/>
      <c r="N95" s="160"/>
      <c r="O95" s="160"/>
      <c r="P95" s="159"/>
      <c r="Q95" s="164"/>
      <c r="R95" s="160"/>
      <c r="S95" s="160" t="str">
        <f ca="1" t="shared" si="12"/>
        <v/>
      </c>
      <c r="T95" s="160" t="str">
        <f ca="1" t="shared" si="13"/>
        <v/>
      </c>
      <c r="U95" s="160" t="str">
        <f ca="1" t="shared" si="14"/>
        <v/>
      </c>
      <c r="V95" s="172"/>
    </row>
    <row r="96" ht="19.5" customHeight="1" spans="1:22">
      <c r="A96" s="43"/>
      <c r="B96" s="29"/>
      <c r="C96" s="29"/>
      <c r="D96" s="29"/>
      <c r="E96" s="29"/>
      <c r="F96" s="29"/>
      <c r="G96" s="29"/>
      <c r="H96" s="42"/>
      <c r="I96" s="43"/>
      <c r="J96" s="165"/>
      <c r="K96" s="168" t="str">
        <f ca="1" t="shared" si="10"/>
        <v/>
      </c>
      <c r="L96" s="29" t="str">
        <f ca="1" t="shared" si="11"/>
        <v/>
      </c>
      <c r="M96" s="29"/>
      <c r="N96" s="29"/>
      <c r="O96" s="29"/>
      <c r="P96" s="43"/>
      <c r="Q96" s="42"/>
      <c r="R96" s="29"/>
      <c r="S96" s="29" t="str">
        <f ca="1" t="shared" si="12"/>
        <v/>
      </c>
      <c r="T96" s="29" t="str">
        <f ca="1" t="shared" si="13"/>
        <v/>
      </c>
      <c r="U96" s="29" t="str">
        <f ca="1" t="shared" si="14"/>
        <v/>
      </c>
      <c r="V96" s="171"/>
    </row>
    <row r="97" ht="19.5" customHeight="1" spans="1:22">
      <c r="A97" s="159"/>
      <c r="B97" s="160"/>
      <c r="C97" s="160"/>
      <c r="D97" s="160"/>
      <c r="E97" s="160"/>
      <c r="F97" s="160"/>
      <c r="G97" s="160"/>
      <c r="H97" s="164"/>
      <c r="I97" s="159"/>
      <c r="J97" s="165"/>
      <c r="K97" s="166" t="str">
        <f ca="1" t="shared" si="10"/>
        <v/>
      </c>
      <c r="L97" s="160" t="str">
        <f ca="1" t="shared" si="11"/>
        <v/>
      </c>
      <c r="M97" s="160"/>
      <c r="N97" s="160"/>
      <c r="O97" s="160"/>
      <c r="P97" s="159"/>
      <c r="Q97" s="164"/>
      <c r="R97" s="160"/>
      <c r="S97" s="160" t="str">
        <f ca="1" t="shared" si="12"/>
        <v/>
      </c>
      <c r="T97" s="160" t="str">
        <f ca="1" t="shared" si="13"/>
        <v/>
      </c>
      <c r="U97" s="160" t="str">
        <f ca="1" t="shared" si="14"/>
        <v/>
      </c>
      <c r="V97" s="172"/>
    </row>
    <row r="98" ht="19.5" customHeight="1" spans="1:22">
      <c r="A98" s="43"/>
      <c r="B98" s="29"/>
      <c r="C98" s="29"/>
      <c r="D98" s="29"/>
      <c r="E98" s="29"/>
      <c r="F98" s="29"/>
      <c r="G98" s="29"/>
      <c r="H98" s="42"/>
      <c r="I98" s="43"/>
      <c r="J98" s="165"/>
      <c r="K98" s="168" t="str">
        <f ca="1" t="shared" si="10"/>
        <v/>
      </c>
      <c r="L98" s="29" t="str">
        <f ca="1" t="shared" si="11"/>
        <v/>
      </c>
      <c r="M98" s="29"/>
      <c r="N98" s="29"/>
      <c r="O98" s="29"/>
      <c r="P98" s="43"/>
      <c r="Q98" s="42"/>
      <c r="R98" s="29"/>
      <c r="S98" s="29" t="str">
        <f ca="1" t="shared" si="12"/>
        <v/>
      </c>
      <c r="T98" s="29" t="str">
        <f ca="1" t="shared" si="13"/>
        <v/>
      </c>
      <c r="U98" s="29" t="str">
        <f ca="1" t="shared" si="14"/>
        <v/>
      </c>
      <c r="V98" s="171"/>
    </row>
    <row r="99" ht="19.5" customHeight="1" spans="1:22">
      <c r="A99" s="159"/>
      <c r="B99" s="160"/>
      <c r="C99" s="160"/>
      <c r="D99" s="160"/>
      <c r="E99" s="160"/>
      <c r="F99" s="160"/>
      <c r="G99" s="160"/>
      <c r="H99" s="164"/>
      <c r="I99" s="159"/>
      <c r="J99" s="165"/>
      <c r="K99" s="166" t="str">
        <f ca="1" t="shared" si="10"/>
        <v/>
      </c>
      <c r="L99" s="160" t="str">
        <f ca="1" t="shared" si="11"/>
        <v/>
      </c>
      <c r="M99" s="160"/>
      <c r="N99" s="160"/>
      <c r="O99" s="160"/>
      <c r="P99" s="159"/>
      <c r="Q99" s="164"/>
      <c r="R99" s="160"/>
      <c r="S99" s="160" t="str">
        <f ca="1" t="shared" si="12"/>
        <v/>
      </c>
      <c r="T99" s="160" t="str">
        <f ca="1" t="shared" si="13"/>
        <v/>
      </c>
      <c r="U99" s="160" t="str">
        <f ca="1" t="shared" si="14"/>
        <v/>
      </c>
      <c r="V99" s="172"/>
    </row>
    <row r="100" ht="19.5" customHeight="1" spans="1:22">
      <c r="A100" s="43"/>
      <c r="B100" s="29"/>
      <c r="C100" s="29"/>
      <c r="D100" s="29"/>
      <c r="E100" s="29"/>
      <c r="F100" s="29"/>
      <c r="G100" s="29"/>
      <c r="H100" s="42"/>
      <c r="I100" s="43"/>
      <c r="J100" s="165"/>
      <c r="K100" s="168" t="str">
        <f ca="1" t="shared" si="10"/>
        <v/>
      </c>
      <c r="L100" s="29" t="str">
        <f ca="1" t="shared" si="11"/>
        <v/>
      </c>
      <c r="M100" s="29"/>
      <c r="N100" s="29"/>
      <c r="O100" s="29"/>
      <c r="P100" s="43"/>
      <c r="Q100" s="42"/>
      <c r="R100" s="29"/>
      <c r="S100" s="29" t="str">
        <f ca="1" t="shared" si="12"/>
        <v/>
      </c>
      <c r="T100" s="29" t="str">
        <f ca="1" t="shared" si="13"/>
        <v/>
      </c>
      <c r="U100" s="29" t="str">
        <f ca="1" t="shared" si="14"/>
        <v/>
      </c>
      <c r="V100" s="171"/>
    </row>
    <row r="101" ht="19.5" customHeight="1" spans="1:22">
      <c r="A101" s="159"/>
      <c r="B101" s="160"/>
      <c r="C101" s="160"/>
      <c r="D101" s="160"/>
      <c r="E101" s="160"/>
      <c r="F101" s="160"/>
      <c r="G101" s="160"/>
      <c r="H101" s="164"/>
      <c r="I101" s="159"/>
      <c r="J101" s="165"/>
      <c r="K101" s="166" t="str">
        <f ca="1" t="shared" si="10"/>
        <v/>
      </c>
      <c r="L101" s="160" t="str">
        <f ca="1" t="shared" si="11"/>
        <v/>
      </c>
      <c r="M101" s="160"/>
      <c r="N101" s="160"/>
      <c r="O101" s="160"/>
      <c r="P101" s="159"/>
      <c r="Q101" s="164"/>
      <c r="R101" s="160"/>
      <c r="S101" s="160" t="str">
        <f ca="1" t="shared" si="12"/>
        <v/>
      </c>
      <c r="T101" s="160" t="str">
        <f ca="1" t="shared" si="13"/>
        <v/>
      </c>
      <c r="U101" s="160" t="str">
        <f ca="1" t="shared" si="14"/>
        <v/>
      </c>
      <c r="V101" s="172"/>
    </row>
    <row r="102" ht="19.5" customHeight="1" spans="1:22">
      <c r="A102" s="43"/>
      <c r="B102" s="29"/>
      <c r="C102" s="29"/>
      <c r="D102" s="29"/>
      <c r="E102" s="29"/>
      <c r="F102" s="29"/>
      <c r="G102" s="29"/>
      <c r="H102" s="42"/>
      <c r="I102" s="43"/>
      <c r="J102" s="165"/>
      <c r="K102" s="168" t="str">
        <f ca="1" t="shared" si="10"/>
        <v/>
      </c>
      <c r="L102" s="29" t="str">
        <f ca="1" t="shared" si="11"/>
        <v/>
      </c>
      <c r="M102" s="29"/>
      <c r="N102" s="29"/>
      <c r="O102" s="29"/>
      <c r="P102" s="43"/>
      <c r="Q102" s="42"/>
      <c r="R102" s="29"/>
      <c r="S102" s="29" t="str">
        <f ca="1" t="shared" si="12"/>
        <v/>
      </c>
      <c r="T102" s="29" t="str">
        <f ca="1" t="shared" si="13"/>
        <v/>
      </c>
      <c r="U102" s="29" t="str">
        <f ca="1" t="shared" si="14"/>
        <v/>
      </c>
      <c r="V102" s="171"/>
    </row>
    <row r="103" customHeight="1" spans="1:22">
      <c r="J103" s="165"/>
      <c r="K103" s="191" t="str">
        <f ca="1" t="shared" si="10"/>
        <v/>
      </c>
      <c r="L103" s="1" t="str">
        <f ca="1" t="shared" si="11"/>
        <v/>
      </c>
      <c r="S103" s="1" t="str">
        <f ca="1" t="shared" si="12"/>
        <v/>
      </c>
      <c r="T103" s="1" t="str">
        <f ca="1" t="shared" si="13"/>
        <v/>
      </c>
      <c r="U103" s="1" t="str">
        <f ca="1" t="shared" si="14"/>
        <v/>
      </c>
    </row>
    <row r="104" customHeight="1" spans="1:22">
      <c r="J104" s="165"/>
      <c r="K104" s="191" t="str">
        <f ca="1" t="shared" si="10"/>
        <v/>
      </c>
      <c r="L104" s="1" t="str">
        <f ca="1" t="shared" si="11"/>
        <v/>
      </c>
      <c r="S104" s="1" t="str">
        <f ca="1" t="shared" si="12"/>
        <v/>
      </c>
      <c r="T104" s="1" t="str">
        <f ca="1" t="shared" si="13"/>
        <v/>
      </c>
      <c r="U104" s="1" t="str">
        <f ca="1" t="shared" si="14"/>
        <v/>
      </c>
    </row>
    <row r="105" customHeight="1" spans="1:22">
      <c r="J105" s="165"/>
      <c r="K105" s="191" t="str">
        <f ca="1" t="shared" si="10"/>
        <v/>
      </c>
      <c r="L105" s="1" t="str">
        <f ca="1" t="shared" si="11"/>
        <v/>
      </c>
      <c r="S105" s="1" t="str">
        <f ca="1" t="shared" si="12"/>
        <v/>
      </c>
      <c r="T105" s="1" t="str">
        <f ca="1" t="shared" si="13"/>
        <v/>
      </c>
      <c r="U105" s="1" t="str">
        <f ca="1" t="shared" si="14"/>
        <v/>
      </c>
    </row>
    <row r="106" customHeight="1" spans="1:22">
      <c r="J106" s="165"/>
      <c r="K106" s="191" t="str">
        <f ca="1" t="shared" si="10"/>
        <v/>
      </c>
      <c r="L106" s="1" t="str">
        <f ca="1" t="shared" si="11"/>
        <v/>
      </c>
      <c r="S106" s="1" t="str">
        <f ca="1" t="shared" si="12"/>
        <v/>
      </c>
      <c r="T106" s="1" t="str">
        <f ca="1" t="shared" si="13"/>
        <v/>
      </c>
      <c r="U106" s="1" t="str">
        <f ca="1" t="shared" si="14"/>
        <v/>
      </c>
    </row>
    <row r="107" customHeight="1" spans="1:22">
      <c r="J107" s="165"/>
      <c r="K107" s="191" t="str">
        <f ca="1" t="shared" si="10"/>
        <v/>
      </c>
      <c r="L107" s="1" t="str">
        <f ca="1" t="shared" si="11"/>
        <v/>
      </c>
      <c r="S107" s="1" t="str">
        <f ca="1" t="shared" si="12"/>
        <v/>
      </c>
      <c r="T107" s="1" t="str">
        <f ca="1" t="shared" si="13"/>
        <v/>
      </c>
      <c r="U107" s="1" t="str">
        <f ca="1" t="shared" si="14"/>
        <v/>
      </c>
    </row>
    <row r="108" customHeight="1" spans="1:22">
      <c r="J108" s="165"/>
      <c r="K108" s="191" t="str">
        <f ca="1" t="shared" si="10"/>
        <v/>
      </c>
      <c r="L108" s="1" t="str">
        <f ca="1" t="shared" si="11"/>
        <v/>
      </c>
      <c r="S108" s="1" t="str">
        <f ca="1" t="shared" si="12"/>
        <v/>
      </c>
      <c r="T108" s="1" t="str">
        <f ca="1" t="shared" si="13"/>
        <v/>
      </c>
      <c r="U108" s="1" t="str">
        <f ca="1" t="shared" si="14"/>
        <v/>
      </c>
    </row>
    <row r="109" customHeight="1" spans="1:22">
      <c r="J109" s="165"/>
      <c r="K109" s="191" t="str">
        <f ca="1" t="shared" si="10"/>
        <v/>
      </c>
      <c r="L109" s="1" t="str">
        <f ca="1" t="shared" si="11"/>
        <v/>
      </c>
      <c r="S109" s="1" t="str">
        <f ca="1" t="shared" si="12"/>
        <v/>
      </c>
      <c r="T109" s="1" t="str">
        <f ca="1" t="shared" si="13"/>
        <v/>
      </c>
      <c r="U109" s="1" t="str">
        <f ca="1" t="shared" si="14"/>
        <v/>
      </c>
    </row>
    <row r="110" customHeight="1" spans="1:22">
      <c r="J110" s="165"/>
      <c r="K110" s="191" t="str">
        <f ca="1" t="shared" si="10"/>
        <v/>
      </c>
      <c r="L110" s="1" t="str">
        <f ca="1" t="shared" si="11"/>
        <v/>
      </c>
      <c r="S110" s="1" t="str">
        <f ca="1" t="shared" si="12"/>
        <v/>
      </c>
      <c r="T110" s="1" t="str">
        <f ca="1" t="shared" si="13"/>
        <v/>
      </c>
      <c r="U110" s="1" t="str">
        <f ca="1" t="shared" si="14"/>
        <v/>
      </c>
    </row>
    <row r="111" customHeight="1" spans="1:22">
      <c r="J111" s="165"/>
      <c r="K111" s="191" t="str">
        <f ca="1" t="shared" si="10"/>
        <v/>
      </c>
      <c r="L111" s="1" t="str">
        <f ca="1" t="shared" si="11"/>
        <v/>
      </c>
      <c r="S111" s="1" t="str">
        <f ca="1" t="shared" si="12"/>
        <v/>
      </c>
      <c r="T111" s="1" t="str">
        <f ca="1" t="shared" si="13"/>
        <v/>
      </c>
      <c r="U111" s="1" t="str">
        <f ca="1" t="shared" si="14"/>
        <v/>
      </c>
    </row>
    <row r="112" customHeight="1" spans="1:22">
      <c r="J112" s="165"/>
      <c r="K112" s="191" t="str">
        <f ca="1" t="shared" si="10"/>
        <v/>
      </c>
      <c r="L112" s="1" t="str">
        <f ca="1" t="shared" si="11"/>
        <v/>
      </c>
      <c r="S112" s="1" t="str">
        <f ca="1" t="shared" si="12"/>
        <v/>
      </c>
      <c r="T112" s="1" t="str">
        <f ca="1" t="shared" si="13"/>
        <v/>
      </c>
      <c r="U112" s="1" t="str">
        <f ca="1" t="shared" si="14"/>
        <v/>
      </c>
    </row>
    <row r="113" customHeight="1" spans="11:21">
      <c r="K113" s="191" t="str">
        <f ca="1" t="shared" si="10"/>
        <v/>
      </c>
      <c r="L113" s="1" t="str">
        <f ca="1" t="shared" si="11"/>
        <v/>
      </c>
      <c r="S113" s="1" t="str">
        <f ca="1" t="shared" si="12"/>
        <v/>
      </c>
      <c r="T113" s="1" t="str">
        <f ca="1" t="shared" si="13"/>
        <v/>
      </c>
      <c r="U113" s="1" t="str">
        <f ca="1" t="shared" si="14"/>
        <v/>
      </c>
    </row>
    <row r="114" customHeight="1" spans="11:21">
      <c r="K114" s="191" t="str">
        <f ca="1" t="shared" si="10"/>
        <v/>
      </c>
      <c r="L114" s="1" t="str">
        <f ca="1" t="shared" si="11"/>
        <v/>
      </c>
      <c r="S114" s="1" t="str">
        <f ca="1" t="shared" si="12"/>
        <v/>
      </c>
      <c r="T114" s="1" t="str">
        <f ca="1" t="shared" si="13"/>
        <v/>
      </c>
      <c r="U114" s="1" t="str">
        <f ca="1" t="shared" si="14"/>
        <v/>
      </c>
    </row>
    <row r="115" customHeight="1" spans="11:21">
      <c r="K115" s="191" t="str">
        <f ca="1" t="shared" si="10"/>
        <v/>
      </c>
      <c r="L115" s="1" t="str">
        <f ca="1" t="shared" si="11"/>
        <v/>
      </c>
      <c r="S115" s="1" t="str">
        <f ca="1" t="shared" si="12"/>
        <v/>
      </c>
      <c r="T115" s="1" t="str">
        <f ca="1" t="shared" si="13"/>
        <v/>
      </c>
      <c r="U115" s="1" t="str">
        <f ca="1" t="shared" si="14"/>
        <v/>
      </c>
    </row>
    <row r="116" customHeight="1" spans="11:21">
      <c r="K116" s="191" t="str">
        <f ca="1" t="shared" si="10"/>
        <v/>
      </c>
      <c r="L116" s="1" t="str">
        <f ca="1" t="shared" si="11"/>
        <v/>
      </c>
      <c r="S116" s="1" t="str">
        <f ca="1" t="shared" si="12"/>
        <v/>
      </c>
      <c r="T116" s="1" t="str">
        <f ca="1" t="shared" si="13"/>
        <v/>
      </c>
      <c r="U116" s="1" t="str">
        <f ca="1" t="shared" si="14"/>
        <v/>
      </c>
    </row>
    <row r="117" customHeight="1" spans="11:21">
      <c r="K117" s="191" t="str">
        <f ca="1" t="shared" si="10"/>
        <v/>
      </c>
      <c r="L117" s="1" t="str">
        <f ca="1" t="shared" si="11"/>
        <v/>
      </c>
      <c r="S117" s="1" t="str">
        <f ca="1" t="shared" si="12"/>
        <v/>
      </c>
      <c r="T117" s="1" t="str">
        <f ca="1" t="shared" si="13"/>
        <v/>
      </c>
      <c r="U117" s="1" t="str">
        <f ca="1" t="shared" si="14"/>
        <v/>
      </c>
    </row>
    <row r="118" customHeight="1" spans="11:21">
      <c r="K118" s="191" t="str">
        <f ca="1" t="shared" si="10"/>
        <v/>
      </c>
      <c r="L118" s="1" t="str">
        <f ca="1" t="shared" si="11"/>
        <v/>
      </c>
      <c r="S118" s="1" t="str">
        <f ca="1" t="shared" si="12"/>
        <v/>
      </c>
      <c r="T118" s="1" t="str">
        <f ca="1" t="shared" si="13"/>
        <v/>
      </c>
      <c r="U118" s="1" t="str">
        <f ca="1" t="shared" si="14"/>
        <v/>
      </c>
    </row>
    <row r="119" customHeight="1" spans="11:21">
      <c r="K119" s="191" t="str">
        <f ca="1" t="shared" si="10"/>
        <v/>
      </c>
      <c r="L119" s="1" t="str">
        <f ca="1" t="shared" si="11"/>
        <v/>
      </c>
      <c r="S119" s="1" t="str">
        <f ca="1" t="shared" si="12"/>
        <v/>
      </c>
      <c r="T119" s="1" t="str">
        <f ca="1" t="shared" si="13"/>
        <v/>
      </c>
      <c r="U119" s="1" t="str">
        <f ca="1" t="shared" si="14"/>
        <v/>
      </c>
    </row>
    <row r="120" customHeight="1" spans="11:21">
      <c r="K120" s="191" t="str">
        <f ca="1" t="shared" si="10"/>
        <v/>
      </c>
      <c r="L120" s="1" t="str">
        <f ca="1" t="shared" si="11"/>
        <v/>
      </c>
      <c r="S120" s="1" t="str">
        <f ca="1" t="shared" si="12"/>
        <v/>
      </c>
      <c r="T120" s="1" t="str">
        <f ca="1" t="shared" si="13"/>
        <v/>
      </c>
      <c r="U120" s="1" t="str">
        <f ca="1" t="shared" si="14"/>
        <v/>
      </c>
    </row>
    <row r="121" customHeight="1" spans="11:21">
      <c r="K121" s="191" t="str">
        <f ca="1" t="shared" si="10"/>
        <v/>
      </c>
      <c r="L121" s="1" t="str">
        <f ca="1" t="shared" si="11"/>
        <v/>
      </c>
      <c r="S121" s="1" t="str">
        <f ca="1" t="shared" si="12"/>
        <v/>
      </c>
      <c r="T121" s="1" t="str">
        <f ca="1" t="shared" si="13"/>
        <v/>
      </c>
      <c r="U121" s="1" t="str">
        <f ca="1" t="shared" si="14"/>
        <v/>
      </c>
    </row>
    <row r="122" customHeight="1" spans="11:21">
      <c r="K122" s="191" t="str">
        <f ca="1" t="shared" si="10"/>
        <v/>
      </c>
      <c r="L122" s="1" t="str">
        <f ca="1" t="shared" si="11"/>
        <v/>
      </c>
      <c r="S122" s="1" t="str">
        <f ca="1" t="shared" si="12"/>
        <v/>
      </c>
      <c r="T122" s="1" t="str">
        <f ca="1" t="shared" si="13"/>
        <v/>
      </c>
      <c r="U122" s="1" t="str">
        <f ca="1" t="shared" si="14"/>
        <v/>
      </c>
    </row>
    <row r="123" customHeight="1" spans="11:21">
      <c r="K123" s="191" t="str">
        <f ca="1" t="shared" si="10"/>
        <v/>
      </c>
      <c r="L123" s="1" t="str">
        <f ca="1" t="shared" si="11"/>
        <v/>
      </c>
      <c r="S123" s="1" t="str">
        <f ca="1" t="shared" si="12"/>
        <v/>
      </c>
      <c r="T123" s="1" t="str">
        <f ca="1" t="shared" si="13"/>
        <v/>
      </c>
      <c r="U123" s="1" t="str">
        <f ca="1" t="shared" si="14"/>
        <v/>
      </c>
    </row>
    <row r="124" customHeight="1" spans="11:21">
      <c r="K124" s="191" t="str">
        <f ca="1" t="shared" si="10"/>
        <v/>
      </c>
      <c r="L124" s="1" t="str">
        <f ca="1" t="shared" si="11"/>
        <v/>
      </c>
      <c r="S124" s="1" t="str">
        <f ca="1" t="shared" si="12"/>
        <v/>
      </c>
      <c r="T124" s="1" t="str">
        <f ca="1" t="shared" si="13"/>
        <v/>
      </c>
      <c r="U124" s="1" t="str">
        <f ca="1" t="shared" si="14"/>
        <v/>
      </c>
    </row>
    <row r="125" customHeight="1" spans="11:21">
      <c r="K125" s="191" t="str">
        <f ca="1" t="shared" si="10"/>
        <v/>
      </c>
      <c r="L125" s="1" t="str">
        <f ca="1" t="shared" si="11"/>
        <v/>
      </c>
      <c r="S125" s="1" t="str">
        <f ca="1" t="shared" si="12"/>
        <v/>
      </c>
      <c r="T125" s="1" t="str">
        <f ca="1" t="shared" si="13"/>
        <v/>
      </c>
      <c r="U125" s="1" t="str">
        <f ca="1" t="shared" si="14"/>
        <v/>
      </c>
    </row>
    <row r="126" customHeight="1" spans="11:21">
      <c r="K126" s="191" t="str">
        <f ca="1" t="shared" si="10"/>
        <v/>
      </c>
      <c r="L126" s="1" t="str">
        <f ca="1" t="shared" si="11"/>
        <v/>
      </c>
      <c r="S126" s="1" t="str">
        <f ca="1" t="shared" si="12"/>
        <v/>
      </c>
      <c r="T126" s="1" t="str">
        <f ca="1" t="shared" si="13"/>
        <v/>
      </c>
      <c r="U126" s="1" t="str">
        <f ca="1" t="shared" si="14"/>
        <v/>
      </c>
    </row>
    <row r="127" customHeight="1" spans="11:21">
      <c r="K127" s="191" t="str">
        <f ca="1" t="shared" si="10"/>
        <v/>
      </c>
      <c r="L127" s="1" t="str">
        <f ca="1" t="shared" si="11"/>
        <v/>
      </c>
      <c r="S127" s="1" t="str">
        <f ca="1" t="shared" si="12"/>
        <v/>
      </c>
      <c r="T127" s="1" t="str">
        <f ca="1" t="shared" si="13"/>
        <v/>
      </c>
      <c r="U127" s="1" t="str">
        <f ca="1" t="shared" si="14"/>
        <v/>
      </c>
    </row>
    <row r="128" customHeight="1" spans="11:21">
      <c r="K128" s="191" t="str">
        <f ca="1" t="shared" si="10"/>
        <v/>
      </c>
      <c r="L128" s="1" t="str">
        <f ca="1" t="shared" si="11"/>
        <v/>
      </c>
      <c r="S128" s="1" t="str">
        <f ca="1" t="shared" si="12"/>
        <v/>
      </c>
      <c r="T128" s="1" t="str">
        <f ca="1" t="shared" si="13"/>
        <v/>
      </c>
      <c r="U128" s="1" t="str">
        <f ca="1" t="shared" si="14"/>
        <v/>
      </c>
    </row>
    <row r="129" customHeight="1" spans="11:21">
      <c r="K129" s="191" t="str">
        <f ca="1" t="shared" si="10"/>
        <v/>
      </c>
      <c r="L129" s="1" t="str">
        <f ca="1" t="shared" si="11"/>
        <v/>
      </c>
      <c r="S129" s="1" t="str">
        <f ca="1" t="shared" si="12"/>
        <v/>
      </c>
      <c r="T129" s="1" t="str">
        <f ca="1" t="shared" si="13"/>
        <v/>
      </c>
      <c r="U129" s="1" t="str">
        <f ca="1" t="shared" si="14"/>
        <v/>
      </c>
    </row>
    <row r="130" customHeight="1" spans="11:21">
      <c r="K130" s="191" t="str">
        <f ca="1" t="shared" si="10"/>
        <v/>
      </c>
      <c r="L130" s="1" t="str">
        <f ca="1" t="shared" si="11"/>
        <v/>
      </c>
      <c r="S130" s="1" t="str">
        <f ca="1" t="shared" si="12"/>
        <v/>
      </c>
      <c r="T130" s="1" t="str">
        <f ca="1" t="shared" si="13"/>
        <v/>
      </c>
      <c r="U130" s="1" t="str">
        <f ca="1" t="shared" si="14"/>
        <v/>
      </c>
    </row>
    <row r="131" customHeight="1" spans="11:21">
      <c r="K131" s="191" t="str">
        <f ca="1" t="shared" si="10"/>
        <v/>
      </c>
      <c r="L131" s="1" t="str">
        <f ca="1" t="shared" si="11"/>
        <v/>
      </c>
      <c r="S131" s="1" t="str">
        <f ca="1" t="shared" si="12"/>
        <v/>
      </c>
      <c r="T131" s="1" t="str">
        <f ca="1" t="shared" si="13"/>
        <v/>
      </c>
      <c r="U131" s="1" t="str">
        <f ca="1" t="shared" si="14"/>
        <v/>
      </c>
    </row>
    <row r="132" customHeight="1" spans="11:21">
      <c r="K132" s="191" t="str">
        <f ca="1" t="shared" si="10"/>
        <v/>
      </c>
      <c r="L132" s="1" t="str">
        <f ca="1" t="shared" si="11"/>
        <v/>
      </c>
      <c r="S132" s="1" t="str">
        <f ca="1" t="shared" si="12"/>
        <v/>
      </c>
      <c r="T132" s="1" t="str">
        <f ca="1" t="shared" si="13"/>
        <v/>
      </c>
      <c r="U132" s="1" t="str">
        <f ca="1" t="shared" si="14"/>
        <v/>
      </c>
    </row>
    <row r="133" customHeight="1" spans="11:21">
      <c r="K133" s="191" t="str">
        <f ca="1" t="shared" si="10"/>
        <v/>
      </c>
      <c r="L133" s="1" t="str">
        <f ca="1" t="shared" si="11"/>
        <v/>
      </c>
      <c r="S133" s="1" t="str">
        <f ca="1" t="shared" si="12"/>
        <v/>
      </c>
      <c r="T133" s="1" t="str">
        <f ca="1" t="shared" si="13"/>
        <v/>
      </c>
      <c r="U133" s="1" t="str">
        <f ca="1" t="shared" si="14"/>
        <v/>
      </c>
    </row>
    <row r="134" customHeight="1" spans="11:21">
      <c r="K134" s="191" t="str">
        <f ca="1" t="shared" si="10"/>
        <v/>
      </c>
      <c r="L134" s="1" t="str">
        <f ca="1" t="shared" si="11"/>
        <v/>
      </c>
      <c r="S134" s="1" t="str">
        <f ca="1" t="shared" si="12"/>
        <v/>
      </c>
      <c r="T134" s="1" t="str">
        <f ca="1" t="shared" si="13"/>
        <v/>
      </c>
      <c r="U134" s="1" t="str">
        <f ca="1" t="shared" si="14"/>
        <v/>
      </c>
    </row>
    <row r="135" customHeight="1" spans="11:21">
      <c r="K135" s="191" t="str">
        <f ca="1" t="shared" si="10"/>
        <v/>
      </c>
      <c r="L135" s="1" t="str">
        <f ca="1" t="shared" si="11"/>
        <v/>
      </c>
      <c r="S135" s="1" t="str">
        <f ca="1" t="shared" si="12"/>
        <v/>
      </c>
      <c r="T135" s="1" t="str">
        <f ca="1" t="shared" si="13"/>
        <v/>
      </c>
      <c r="U135" s="1" t="str">
        <f ca="1" t="shared" si="14"/>
        <v/>
      </c>
    </row>
    <row r="136" customHeight="1" spans="11:21">
      <c r="K136" s="191" t="str">
        <f ca="1" t="shared" si="10"/>
        <v/>
      </c>
      <c r="L136" s="1" t="str">
        <f ca="1" t="shared" si="11"/>
        <v/>
      </c>
      <c r="S136" s="1" t="str">
        <f ca="1" t="shared" si="12"/>
        <v/>
      </c>
      <c r="T136" s="1" t="str">
        <f ca="1" t="shared" si="13"/>
        <v/>
      </c>
      <c r="U136" s="1" t="str">
        <f ca="1" t="shared" si="14"/>
        <v/>
      </c>
    </row>
    <row r="137" customHeight="1" spans="11:21">
      <c r="K137" s="191" t="str">
        <f ca="1" t="shared" si="10"/>
        <v/>
      </c>
      <c r="L137" s="1" t="str">
        <f ca="1" t="shared" si="11"/>
        <v/>
      </c>
      <c r="S137" s="1" t="str">
        <f ca="1" t="shared" si="12"/>
        <v/>
      </c>
      <c r="T137" s="1" t="str">
        <f ca="1" t="shared" si="13"/>
        <v/>
      </c>
      <c r="U137" s="1" t="str">
        <f ca="1" t="shared" si="14"/>
        <v/>
      </c>
    </row>
    <row r="138" customHeight="1" spans="11:21">
      <c r="K138" s="191" t="str">
        <f ca="1" t="shared" si="10"/>
        <v/>
      </c>
      <c r="L138" s="1" t="str">
        <f ca="1" t="shared" si="11"/>
        <v/>
      </c>
      <c r="S138" s="1" t="str">
        <f ca="1" t="shared" si="12"/>
        <v/>
      </c>
      <c r="T138" s="1" t="str">
        <f ca="1" t="shared" si="13"/>
        <v/>
      </c>
      <c r="U138" s="1" t="str">
        <f ca="1" t="shared" si="14"/>
        <v/>
      </c>
    </row>
    <row r="139" customHeight="1" spans="11:21">
      <c r="K139" s="191" t="str">
        <f ca="1" t="shared" si="10"/>
        <v/>
      </c>
      <c r="L139" s="1" t="str">
        <f ca="1" t="shared" si="11"/>
        <v/>
      </c>
      <c r="S139" s="1" t="str">
        <f ca="1" t="shared" si="12"/>
        <v/>
      </c>
      <c r="T139" s="1" t="str">
        <f ca="1" t="shared" si="13"/>
        <v/>
      </c>
      <c r="U139" s="1" t="str">
        <f ca="1" t="shared" si="14"/>
        <v/>
      </c>
    </row>
    <row r="140" customHeight="1" spans="11:21">
      <c r="K140" s="191" t="str">
        <f ca="1" t="shared" si="10"/>
        <v/>
      </c>
      <c r="L140" s="1" t="str">
        <f ca="1" t="shared" si="11"/>
        <v/>
      </c>
      <c r="S140" s="1" t="str">
        <f ca="1" t="shared" si="12"/>
        <v/>
      </c>
      <c r="T140" s="1" t="str">
        <f ca="1" t="shared" si="13"/>
        <v/>
      </c>
      <c r="U140" s="1" t="str">
        <f ca="1" t="shared" si="14"/>
        <v/>
      </c>
    </row>
    <row r="141" customHeight="1" spans="11:21">
      <c r="K141" s="191" t="str">
        <f ca="1" t="shared" si="10"/>
        <v/>
      </c>
      <c r="L141" s="1" t="str">
        <f ca="1" t="shared" si="11"/>
        <v/>
      </c>
      <c r="S141" s="1" t="str">
        <f ca="1" t="shared" si="12"/>
        <v/>
      </c>
      <c r="T141" s="1" t="str">
        <f ca="1" t="shared" si="13"/>
        <v/>
      </c>
      <c r="U141" s="1" t="str">
        <f ca="1" t="shared" si="14"/>
        <v/>
      </c>
    </row>
    <row r="142" customHeight="1" spans="11:21">
      <c r="K142" s="191" t="str">
        <f ca="1" t="shared" si="10"/>
        <v/>
      </c>
      <c r="L142" s="1" t="str">
        <f ca="1" t="shared" si="11"/>
        <v/>
      </c>
      <c r="S142" s="1" t="str">
        <f ca="1" t="shared" si="12"/>
        <v/>
      </c>
      <c r="T142" s="1" t="str">
        <f ca="1" t="shared" si="13"/>
        <v/>
      </c>
      <c r="U142" s="1" t="str">
        <f ca="1" t="shared" si="14"/>
        <v/>
      </c>
    </row>
    <row r="143" customHeight="1" spans="11:21">
      <c r="K143" s="191" t="str">
        <f ca="1" t="shared" ref="K143:K200" si="15">IF(I143="","",I143-TODAY())</f>
        <v/>
      </c>
      <c r="L143" s="1" t="str">
        <f ca="1" t="shared" ref="L143:L200" si="16">IF(I143="","",IF(I143-TODAY()&lt;=3,"High",IF(I143-TODAY()&lt;=7,"Medium","Low")))</f>
        <v/>
      </c>
      <c r="S143" s="1" t="str">
        <f ca="1" t="shared" ref="S143:S200" si="17">IF(H143="","",IFERROR(IF(H143&gt;5000000,30,IF(H143&gt;=1000000,20,10))+IF(I143-TODAY()&gt;14,30,IF(I143-TODAY()&gt;=7,20,10))+IF(R143="Won",40,IF(R143="Lost",10,20)),""))</f>
        <v/>
      </c>
      <c r="T143" s="1" t="str">
        <f ca="1" t="shared" ref="T143:T200" si="18">IF(OR(H143="",I143=""),"",IF(AND(H143&gt;5000000,I143-TODAY()&gt;10),"🚨 FLAG","—"))</f>
        <v/>
      </c>
      <c r="U143" s="1" t="str">
        <f ca="1" t="shared" ref="U143:U200" si="19">IF(S143="","",IF(S143&gt;=70,"✅ Highly Recommended",IF(S143&gt;=50,"🔶 Consider","❌ Low Priority")))</f>
        <v/>
      </c>
    </row>
    <row r="144" customHeight="1" spans="11:21">
      <c r="K144" s="191" t="str">
        <f ca="1" t="shared" si="15"/>
        <v/>
      </c>
      <c r="L144" s="1" t="str">
        <f ca="1" t="shared" si="16"/>
        <v/>
      </c>
      <c r="S144" s="1" t="str">
        <f ca="1" t="shared" si="17"/>
        <v/>
      </c>
      <c r="T144" s="1" t="str">
        <f ca="1" t="shared" si="18"/>
        <v/>
      </c>
      <c r="U144" s="1" t="str">
        <f ca="1" t="shared" si="19"/>
        <v/>
      </c>
    </row>
    <row r="145" customHeight="1" spans="11:21">
      <c r="K145" s="191" t="str">
        <f ca="1" t="shared" si="15"/>
        <v/>
      </c>
      <c r="L145" s="1" t="str">
        <f ca="1" t="shared" si="16"/>
        <v/>
      </c>
      <c r="S145" s="1" t="str">
        <f ca="1" t="shared" si="17"/>
        <v/>
      </c>
      <c r="T145" s="1" t="str">
        <f ca="1" t="shared" si="18"/>
        <v/>
      </c>
      <c r="U145" s="1" t="str">
        <f ca="1" t="shared" si="19"/>
        <v/>
      </c>
    </row>
    <row r="146" customHeight="1" spans="11:21">
      <c r="K146" s="191" t="str">
        <f ca="1" t="shared" si="15"/>
        <v/>
      </c>
      <c r="L146" s="1" t="str">
        <f ca="1" t="shared" si="16"/>
        <v/>
      </c>
      <c r="S146" s="1" t="str">
        <f ca="1" t="shared" si="17"/>
        <v/>
      </c>
      <c r="T146" s="1" t="str">
        <f ca="1" t="shared" si="18"/>
        <v/>
      </c>
      <c r="U146" s="1" t="str">
        <f ca="1" t="shared" si="19"/>
        <v/>
      </c>
    </row>
    <row r="147" customHeight="1" spans="11:21">
      <c r="K147" s="191" t="str">
        <f ca="1" t="shared" si="15"/>
        <v/>
      </c>
      <c r="L147" s="1" t="str">
        <f ca="1" t="shared" si="16"/>
        <v/>
      </c>
      <c r="S147" s="1" t="str">
        <f ca="1" t="shared" si="17"/>
        <v/>
      </c>
      <c r="T147" s="1" t="str">
        <f ca="1" t="shared" si="18"/>
        <v/>
      </c>
      <c r="U147" s="1" t="str">
        <f ca="1" t="shared" si="19"/>
        <v/>
      </c>
    </row>
    <row r="148" customHeight="1" spans="11:21">
      <c r="K148" s="191" t="str">
        <f ca="1" t="shared" si="15"/>
        <v/>
      </c>
      <c r="L148" s="1" t="str">
        <f ca="1" t="shared" si="16"/>
        <v/>
      </c>
      <c r="S148" s="1" t="str">
        <f ca="1" t="shared" si="17"/>
        <v/>
      </c>
      <c r="T148" s="1" t="str">
        <f ca="1" t="shared" si="18"/>
        <v/>
      </c>
      <c r="U148" s="1" t="str">
        <f ca="1" t="shared" si="19"/>
        <v/>
      </c>
    </row>
    <row r="149" customHeight="1" spans="11:21">
      <c r="K149" s="191" t="str">
        <f ca="1" t="shared" si="15"/>
        <v/>
      </c>
      <c r="L149" s="1" t="str">
        <f ca="1" t="shared" si="16"/>
        <v/>
      </c>
      <c r="S149" s="1" t="str">
        <f ca="1" t="shared" si="17"/>
        <v/>
      </c>
      <c r="T149" s="1" t="str">
        <f ca="1" t="shared" si="18"/>
        <v/>
      </c>
      <c r="U149" s="1" t="str">
        <f ca="1" t="shared" si="19"/>
        <v/>
      </c>
    </row>
    <row r="150" customHeight="1" spans="11:21">
      <c r="K150" s="191" t="str">
        <f ca="1" t="shared" si="15"/>
        <v/>
      </c>
      <c r="L150" s="1" t="str">
        <f ca="1" t="shared" si="16"/>
        <v/>
      </c>
      <c r="S150" s="1" t="str">
        <f ca="1" t="shared" si="17"/>
        <v/>
      </c>
      <c r="T150" s="1" t="str">
        <f ca="1" t="shared" si="18"/>
        <v/>
      </c>
      <c r="U150" s="1" t="str">
        <f ca="1" t="shared" si="19"/>
        <v/>
      </c>
    </row>
    <row r="151" customHeight="1" spans="11:21">
      <c r="K151" s="191" t="str">
        <f ca="1" t="shared" si="15"/>
        <v/>
      </c>
      <c r="L151" s="1" t="str">
        <f ca="1" t="shared" si="16"/>
        <v/>
      </c>
      <c r="S151" s="1" t="str">
        <f ca="1" t="shared" si="17"/>
        <v/>
      </c>
      <c r="T151" s="1" t="str">
        <f ca="1" t="shared" si="18"/>
        <v/>
      </c>
      <c r="U151" s="1" t="str">
        <f ca="1" t="shared" si="19"/>
        <v/>
      </c>
    </row>
    <row r="152" customHeight="1" spans="11:21">
      <c r="K152" s="191" t="str">
        <f ca="1" t="shared" si="15"/>
        <v/>
      </c>
      <c r="L152" s="1" t="str">
        <f ca="1" t="shared" si="16"/>
        <v/>
      </c>
      <c r="S152" s="1" t="str">
        <f ca="1" t="shared" si="17"/>
        <v/>
      </c>
      <c r="T152" s="1" t="str">
        <f ca="1" t="shared" si="18"/>
        <v/>
      </c>
      <c r="U152" s="1" t="str">
        <f ca="1" t="shared" si="19"/>
        <v/>
      </c>
    </row>
    <row r="153" customHeight="1" spans="11:21">
      <c r="K153" s="191" t="str">
        <f ca="1" t="shared" si="15"/>
        <v/>
      </c>
      <c r="L153" s="1" t="str">
        <f ca="1" t="shared" si="16"/>
        <v/>
      </c>
      <c r="S153" s="1" t="str">
        <f ca="1" t="shared" si="17"/>
        <v/>
      </c>
      <c r="T153" s="1" t="str">
        <f ca="1" t="shared" si="18"/>
        <v/>
      </c>
      <c r="U153" s="1" t="str">
        <f ca="1" t="shared" si="19"/>
        <v/>
      </c>
    </row>
    <row r="154" customHeight="1" spans="11:21">
      <c r="K154" s="191" t="str">
        <f ca="1" t="shared" si="15"/>
        <v/>
      </c>
      <c r="L154" s="1" t="str">
        <f ca="1" t="shared" si="16"/>
        <v/>
      </c>
      <c r="S154" s="1" t="str">
        <f ca="1" t="shared" si="17"/>
        <v/>
      </c>
      <c r="T154" s="1" t="str">
        <f ca="1" t="shared" si="18"/>
        <v/>
      </c>
      <c r="U154" s="1" t="str">
        <f ca="1" t="shared" si="19"/>
        <v/>
      </c>
    </row>
    <row r="155" customHeight="1" spans="11:21">
      <c r="K155" s="191" t="str">
        <f ca="1" t="shared" si="15"/>
        <v/>
      </c>
      <c r="L155" s="1" t="str">
        <f ca="1" t="shared" si="16"/>
        <v/>
      </c>
      <c r="S155" s="1" t="str">
        <f ca="1" t="shared" si="17"/>
        <v/>
      </c>
      <c r="T155" s="1" t="str">
        <f ca="1" t="shared" si="18"/>
        <v/>
      </c>
      <c r="U155" s="1" t="str">
        <f ca="1" t="shared" si="19"/>
        <v/>
      </c>
    </row>
    <row r="156" customHeight="1" spans="11:21">
      <c r="K156" s="191" t="str">
        <f ca="1" t="shared" si="15"/>
        <v/>
      </c>
      <c r="L156" s="1" t="str">
        <f ca="1" t="shared" si="16"/>
        <v/>
      </c>
      <c r="S156" s="1" t="str">
        <f ca="1" t="shared" si="17"/>
        <v/>
      </c>
      <c r="T156" s="1" t="str">
        <f ca="1" t="shared" si="18"/>
        <v/>
      </c>
      <c r="U156" s="1" t="str">
        <f ca="1" t="shared" si="19"/>
        <v/>
      </c>
    </row>
    <row r="157" customHeight="1" spans="11:21">
      <c r="K157" s="191" t="str">
        <f ca="1" t="shared" si="15"/>
        <v/>
      </c>
      <c r="L157" s="1" t="str">
        <f ca="1" t="shared" si="16"/>
        <v/>
      </c>
      <c r="S157" s="1" t="str">
        <f ca="1" t="shared" si="17"/>
        <v/>
      </c>
      <c r="T157" s="1" t="str">
        <f ca="1" t="shared" si="18"/>
        <v/>
      </c>
      <c r="U157" s="1" t="str">
        <f ca="1" t="shared" si="19"/>
        <v/>
      </c>
    </row>
    <row r="158" customHeight="1" spans="11:21">
      <c r="K158" s="191" t="str">
        <f ca="1" t="shared" si="15"/>
        <v/>
      </c>
      <c r="L158" s="1" t="str">
        <f ca="1" t="shared" si="16"/>
        <v/>
      </c>
      <c r="S158" s="1" t="str">
        <f ca="1" t="shared" si="17"/>
        <v/>
      </c>
      <c r="T158" s="1" t="str">
        <f ca="1" t="shared" si="18"/>
        <v/>
      </c>
      <c r="U158" s="1" t="str">
        <f ca="1" t="shared" si="19"/>
        <v/>
      </c>
    </row>
    <row r="159" customHeight="1" spans="11:21">
      <c r="K159" s="191" t="str">
        <f ca="1" t="shared" si="15"/>
        <v/>
      </c>
      <c r="L159" s="1" t="str">
        <f ca="1" t="shared" si="16"/>
        <v/>
      </c>
      <c r="S159" s="1" t="str">
        <f ca="1" t="shared" si="17"/>
        <v/>
      </c>
      <c r="T159" s="1" t="str">
        <f ca="1" t="shared" si="18"/>
        <v/>
      </c>
      <c r="U159" s="1" t="str">
        <f ca="1" t="shared" si="19"/>
        <v/>
      </c>
    </row>
    <row r="160" customHeight="1" spans="11:21">
      <c r="K160" s="191" t="str">
        <f ca="1" t="shared" si="15"/>
        <v/>
      </c>
      <c r="L160" s="1" t="str">
        <f ca="1" t="shared" si="16"/>
        <v/>
      </c>
      <c r="S160" s="1" t="str">
        <f ca="1" t="shared" si="17"/>
        <v/>
      </c>
      <c r="T160" s="1" t="str">
        <f ca="1" t="shared" si="18"/>
        <v/>
      </c>
      <c r="U160" s="1" t="str">
        <f ca="1" t="shared" si="19"/>
        <v/>
      </c>
    </row>
    <row r="161" customHeight="1" spans="11:21">
      <c r="K161" s="191" t="str">
        <f ca="1" t="shared" si="15"/>
        <v/>
      </c>
      <c r="L161" s="1" t="str">
        <f ca="1" t="shared" si="16"/>
        <v/>
      </c>
      <c r="S161" s="1" t="str">
        <f ca="1" t="shared" si="17"/>
        <v/>
      </c>
      <c r="T161" s="1" t="str">
        <f ca="1" t="shared" si="18"/>
        <v/>
      </c>
      <c r="U161" s="1" t="str">
        <f ca="1" t="shared" si="19"/>
        <v/>
      </c>
    </row>
    <row r="162" customHeight="1" spans="11:21">
      <c r="K162" s="191" t="str">
        <f ca="1" t="shared" si="15"/>
        <v/>
      </c>
      <c r="L162" s="1" t="str">
        <f ca="1" t="shared" si="16"/>
        <v/>
      </c>
      <c r="S162" s="1" t="str">
        <f ca="1" t="shared" si="17"/>
        <v/>
      </c>
      <c r="T162" s="1" t="str">
        <f ca="1" t="shared" si="18"/>
        <v/>
      </c>
      <c r="U162" s="1" t="str">
        <f ca="1" t="shared" si="19"/>
        <v/>
      </c>
    </row>
    <row r="163" customHeight="1" spans="11:21">
      <c r="K163" s="191" t="str">
        <f ca="1" t="shared" si="15"/>
        <v/>
      </c>
      <c r="L163" s="1" t="str">
        <f ca="1" t="shared" si="16"/>
        <v/>
      </c>
      <c r="S163" s="1" t="str">
        <f ca="1" t="shared" si="17"/>
        <v/>
      </c>
      <c r="T163" s="1" t="str">
        <f ca="1" t="shared" si="18"/>
        <v/>
      </c>
      <c r="U163" s="1" t="str">
        <f ca="1" t="shared" si="19"/>
        <v/>
      </c>
    </row>
    <row r="164" customHeight="1" spans="11:21">
      <c r="K164" s="191" t="str">
        <f ca="1" t="shared" si="15"/>
        <v/>
      </c>
      <c r="L164" s="1" t="str">
        <f ca="1" t="shared" si="16"/>
        <v/>
      </c>
      <c r="S164" s="1" t="str">
        <f ca="1" t="shared" si="17"/>
        <v/>
      </c>
      <c r="T164" s="1" t="str">
        <f ca="1" t="shared" si="18"/>
        <v/>
      </c>
      <c r="U164" s="1" t="str">
        <f ca="1" t="shared" si="19"/>
        <v/>
      </c>
    </row>
    <row r="165" customHeight="1" spans="11:21">
      <c r="K165" s="191" t="str">
        <f ca="1" t="shared" si="15"/>
        <v/>
      </c>
      <c r="L165" s="1" t="str">
        <f ca="1" t="shared" si="16"/>
        <v/>
      </c>
      <c r="S165" s="1" t="str">
        <f ca="1" t="shared" si="17"/>
        <v/>
      </c>
      <c r="T165" s="1" t="str">
        <f ca="1" t="shared" si="18"/>
        <v/>
      </c>
      <c r="U165" s="1" t="str">
        <f ca="1" t="shared" si="19"/>
        <v/>
      </c>
    </row>
    <row r="166" customHeight="1" spans="11:21">
      <c r="K166" s="191" t="str">
        <f ca="1" t="shared" si="15"/>
        <v/>
      </c>
      <c r="L166" s="1" t="str">
        <f ca="1" t="shared" si="16"/>
        <v/>
      </c>
      <c r="S166" s="1" t="str">
        <f ca="1" t="shared" si="17"/>
        <v/>
      </c>
      <c r="T166" s="1" t="str">
        <f ca="1" t="shared" si="18"/>
        <v/>
      </c>
      <c r="U166" s="1" t="str">
        <f ca="1" t="shared" si="19"/>
        <v/>
      </c>
    </row>
    <row r="167" customHeight="1" spans="11:21">
      <c r="K167" s="191" t="str">
        <f ca="1" t="shared" si="15"/>
        <v/>
      </c>
      <c r="L167" s="1" t="str">
        <f ca="1" t="shared" si="16"/>
        <v/>
      </c>
      <c r="S167" s="1" t="str">
        <f ca="1" t="shared" si="17"/>
        <v/>
      </c>
      <c r="T167" s="1" t="str">
        <f ca="1" t="shared" si="18"/>
        <v/>
      </c>
      <c r="U167" s="1" t="str">
        <f ca="1" t="shared" si="19"/>
        <v/>
      </c>
    </row>
    <row r="168" customHeight="1" spans="11:21">
      <c r="K168" s="191" t="str">
        <f ca="1" t="shared" si="15"/>
        <v/>
      </c>
      <c r="L168" s="1" t="str">
        <f ca="1" t="shared" si="16"/>
        <v/>
      </c>
      <c r="S168" s="1" t="str">
        <f ca="1" t="shared" si="17"/>
        <v/>
      </c>
      <c r="T168" s="1" t="str">
        <f ca="1" t="shared" si="18"/>
        <v/>
      </c>
      <c r="U168" s="1" t="str">
        <f ca="1" t="shared" si="19"/>
        <v/>
      </c>
    </row>
    <row r="169" customHeight="1" spans="11:21">
      <c r="K169" s="191" t="str">
        <f ca="1" t="shared" si="15"/>
        <v/>
      </c>
      <c r="L169" s="1" t="str">
        <f ca="1" t="shared" si="16"/>
        <v/>
      </c>
      <c r="S169" s="1" t="str">
        <f ca="1" t="shared" si="17"/>
        <v/>
      </c>
      <c r="T169" s="1" t="str">
        <f ca="1" t="shared" si="18"/>
        <v/>
      </c>
      <c r="U169" s="1" t="str">
        <f ca="1" t="shared" si="19"/>
        <v/>
      </c>
    </row>
    <row r="170" customHeight="1" spans="11:21">
      <c r="K170" s="191" t="str">
        <f ca="1" t="shared" si="15"/>
        <v/>
      </c>
      <c r="L170" s="1" t="str">
        <f ca="1" t="shared" si="16"/>
        <v/>
      </c>
      <c r="S170" s="1" t="str">
        <f ca="1" t="shared" si="17"/>
        <v/>
      </c>
      <c r="T170" s="1" t="str">
        <f ca="1" t="shared" si="18"/>
        <v/>
      </c>
      <c r="U170" s="1" t="str">
        <f ca="1" t="shared" si="19"/>
        <v/>
      </c>
    </row>
    <row r="171" customHeight="1" spans="11:21">
      <c r="K171" s="191" t="str">
        <f ca="1" t="shared" si="15"/>
        <v/>
      </c>
      <c r="L171" s="1" t="str">
        <f ca="1" t="shared" si="16"/>
        <v/>
      </c>
      <c r="S171" s="1" t="str">
        <f ca="1" t="shared" si="17"/>
        <v/>
      </c>
      <c r="T171" s="1" t="str">
        <f ca="1" t="shared" si="18"/>
        <v/>
      </c>
      <c r="U171" s="1" t="str">
        <f ca="1" t="shared" si="19"/>
        <v/>
      </c>
    </row>
    <row r="172" customHeight="1" spans="11:21">
      <c r="K172" s="191" t="str">
        <f ca="1" t="shared" si="15"/>
        <v/>
      </c>
      <c r="L172" s="1" t="str">
        <f ca="1" t="shared" si="16"/>
        <v/>
      </c>
      <c r="S172" s="1" t="str">
        <f ca="1" t="shared" si="17"/>
        <v/>
      </c>
      <c r="T172" s="1" t="str">
        <f ca="1" t="shared" si="18"/>
        <v/>
      </c>
      <c r="U172" s="1" t="str">
        <f ca="1" t="shared" si="19"/>
        <v/>
      </c>
    </row>
    <row r="173" customHeight="1" spans="11:21">
      <c r="K173" s="191" t="str">
        <f ca="1" t="shared" si="15"/>
        <v/>
      </c>
      <c r="L173" s="1" t="str">
        <f ca="1" t="shared" si="16"/>
        <v/>
      </c>
      <c r="S173" s="1" t="str">
        <f ca="1" t="shared" si="17"/>
        <v/>
      </c>
      <c r="T173" s="1" t="str">
        <f ca="1" t="shared" si="18"/>
        <v/>
      </c>
      <c r="U173" s="1" t="str">
        <f ca="1" t="shared" si="19"/>
        <v/>
      </c>
    </row>
    <row r="174" customHeight="1" spans="11:21">
      <c r="K174" s="191" t="str">
        <f ca="1" t="shared" si="15"/>
        <v/>
      </c>
      <c r="L174" s="1" t="str">
        <f ca="1" t="shared" si="16"/>
        <v/>
      </c>
      <c r="S174" s="1" t="str">
        <f ca="1" t="shared" si="17"/>
        <v/>
      </c>
      <c r="T174" s="1" t="str">
        <f ca="1" t="shared" si="18"/>
        <v/>
      </c>
      <c r="U174" s="1" t="str">
        <f ca="1" t="shared" si="19"/>
        <v/>
      </c>
    </row>
    <row r="175" customHeight="1" spans="11:21">
      <c r="K175" s="191" t="str">
        <f ca="1" t="shared" si="15"/>
        <v/>
      </c>
      <c r="L175" s="1" t="str">
        <f ca="1" t="shared" si="16"/>
        <v/>
      </c>
      <c r="S175" s="1" t="str">
        <f ca="1" t="shared" si="17"/>
        <v/>
      </c>
      <c r="T175" s="1" t="str">
        <f ca="1" t="shared" si="18"/>
        <v/>
      </c>
      <c r="U175" s="1" t="str">
        <f ca="1" t="shared" si="19"/>
        <v/>
      </c>
    </row>
    <row r="176" customHeight="1" spans="11:21">
      <c r="K176" s="191" t="str">
        <f ca="1" t="shared" si="15"/>
        <v/>
      </c>
      <c r="L176" s="1" t="str">
        <f ca="1" t="shared" si="16"/>
        <v/>
      </c>
      <c r="S176" s="1" t="str">
        <f ca="1" t="shared" si="17"/>
        <v/>
      </c>
      <c r="T176" s="1" t="str">
        <f ca="1" t="shared" si="18"/>
        <v/>
      </c>
      <c r="U176" s="1" t="str">
        <f ca="1" t="shared" si="19"/>
        <v/>
      </c>
    </row>
    <row r="177" customHeight="1" spans="11:21">
      <c r="K177" s="191" t="str">
        <f ca="1" t="shared" si="15"/>
        <v/>
      </c>
      <c r="L177" s="1" t="str">
        <f ca="1" t="shared" si="16"/>
        <v/>
      </c>
      <c r="S177" s="1" t="str">
        <f ca="1" t="shared" si="17"/>
        <v/>
      </c>
      <c r="T177" s="1" t="str">
        <f ca="1" t="shared" si="18"/>
        <v/>
      </c>
      <c r="U177" s="1" t="str">
        <f ca="1" t="shared" si="19"/>
        <v/>
      </c>
    </row>
    <row r="178" customHeight="1" spans="11:21">
      <c r="K178" s="191" t="str">
        <f ca="1" t="shared" si="15"/>
        <v/>
      </c>
      <c r="L178" s="1" t="str">
        <f ca="1" t="shared" si="16"/>
        <v/>
      </c>
      <c r="S178" s="1" t="str">
        <f ca="1" t="shared" si="17"/>
        <v/>
      </c>
      <c r="T178" s="1" t="str">
        <f ca="1" t="shared" si="18"/>
        <v/>
      </c>
      <c r="U178" s="1" t="str">
        <f ca="1" t="shared" si="19"/>
        <v/>
      </c>
    </row>
    <row r="179" customHeight="1" spans="11:21">
      <c r="K179" s="191" t="str">
        <f ca="1" t="shared" si="15"/>
        <v/>
      </c>
      <c r="L179" s="1" t="str">
        <f ca="1" t="shared" si="16"/>
        <v/>
      </c>
      <c r="S179" s="1" t="str">
        <f ca="1" t="shared" si="17"/>
        <v/>
      </c>
      <c r="T179" s="1" t="str">
        <f ca="1" t="shared" si="18"/>
        <v/>
      </c>
      <c r="U179" s="1" t="str">
        <f ca="1" t="shared" si="19"/>
        <v/>
      </c>
    </row>
    <row r="180" customHeight="1" spans="11:21">
      <c r="K180" s="191" t="str">
        <f ca="1" t="shared" si="15"/>
        <v/>
      </c>
      <c r="L180" s="1" t="str">
        <f ca="1" t="shared" si="16"/>
        <v/>
      </c>
      <c r="S180" s="1" t="str">
        <f ca="1" t="shared" si="17"/>
        <v/>
      </c>
      <c r="T180" s="1" t="str">
        <f ca="1" t="shared" si="18"/>
        <v/>
      </c>
      <c r="U180" s="1" t="str">
        <f ca="1" t="shared" si="19"/>
        <v/>
      </c>
    </row>
    <row r="181" customHeight="1" spans="11:21">
      <c r="K181" s="191" t="str">
        <f ca="1" t="shared" si="15"/>
        <v/>
      </c>
      <c r="L181" s="1" t="str">
        <f ca="1" t="shared" si="16"/>
        <v/>
      </c>
      <c r="S181" s="1" t="str">
        <f ca="1" t="shared" si="17"/>
        <v/>
      </c>
      <c r="T181" s="1" t="str">
        <f ca="1" t="shared" si="18"/>
        <v/>
      </c>
      <c r="U181" s="1" t="str">
        <f ca="1" t="shared" si="19"/>
        <v/>
      </c>
    </row>
    <row r="182" customHeight="1" spans="11:21">
      <c r="K182" s="191" t="str">
        <f ca="1" t="shared" si="15"/>
        <v/>
      </c>
      <c r="L182" s="1" t="str">
        <f ca="1" t="shared" si="16"/>
        <v/>
      </c>
      <c r="S182" s="1" t="str">
        <f ca="1" t="shared" si="17"/>
        <v/>
      </c>
      <c r="T182" s="1" t="str">
        <f ca="1" t="shared" si="18"/>
        <v/>
      </c>
      <c r="U182" s="1" t="str">
        <f ca="1" t="shared" si="19"/>
        <v/>
      </c>
    </row>
    <row r="183" customHeight="1" spans="11:21">
      <c r="K183" s="191" t="str">
        <f ca="1" t="shared" si="15"/>
        <v/>
      </c>
      <c r="L183" s="1" t="str">
        <f ca="1" t="shared" si="16"/>
        <v/>
      </c>
      <c r="S183" s="1" t="str">
        <f ca="1" t="shared" si="17"/>
        <v/>
      </c>
      <c r="T183" s="1" t="str">
        <f ca="1" t="shared" si="18"/>
        <v/>
      </c>
      <c r="U183" s="1" t="str">
        <f ca="1" t="shared" si="19"/>
        <v/>
      </c>
    </row>
    <row r="184" customHeight="1" spans="11:21">
      <c r="K184" s="191" t="str">
        <f ca="1" t="shared" si="15"/>
        <v/>
      </c>
      <c r="L184" s="1" t="str">
        <f ca="1" t="shared" si="16"/>
        <v/>
      </c>
      <c r="S184" s="1" t="str">
        <f ca="1" t="shared" si="17"/>
        <v/>
      </c>
      <c r="T184" s="1" t="str">
        <f ca="1" t="shared" si="18"/>
        <v/>
      </c>
      <c r="U184" s="1" t="str">
        <f ca="1" t="shared" si="19"/>
        <v/>
      </c>
    </row>
    <row r="185" customHeight="1" spans="11:21">
      <c r="K185" s="191" t="str">
        <f ca="1" t="shared" si="15"/>
        <v/>
      </c>
      <c r="L185" s="1" t="str">
        <f ca="1" t="shared" si="16"/>
        <v/>
      </c>
      <c r="S185" s="1" t="str">
        <f ca="1" t="shared" si="17"/>
        <v/>
      </c>
      <c r="T185" s="1" t="str">
        <f ca="1" t="shared" si="18"/>
        <v/>
      </c>
      <c r="U185" s="1" t="str">
        <f ca="1" t="shared" si="19"/>
        <v/>
      </c>
    </row>
    <row r="186" customHeight="1" spans="11:21">
      <c r="K186" s="191" t="str">
        <f ca="1" t="shared" si="15"/>
        <v/>
      </c>
      <c r="L186" s="1" t="str">
        <f ca="1" t="shared" si="16"/>
        <v/>
      </c>
      <c r="S186" s="1" t="str">
        <f ca="1" t="shared" si="17"/>
        <v/>
      </c>
      <c r="T186" s="1" t="str">
        <f ca="1" t="shared" si="18"/>
        <v/>
      </c>
      <c r="U186" s="1" t="str">
        <f ca="1" t="shared" si="19"/>
        <v/>
      </c>
    </row>
    <row r="187" customHeight="1" spans="11:21">
      <c r="K187" s="191" t="str">
        <f ca="1" t="shared" si="15"/>
        <v/>
      </c>
      <c r="L187" s="1" t="str">
        <f ca="1" t="shared" si="16"/>
        <v/>
      </c>
      <c r="S187" s="1" t="str">
        <f ca="1" t="shared" si="17"/>
        <v/>
      </c>
      <c r="T187" s="1" t="str">
        <f ca="1" t="shared" si="18"/>
        <v/>
      </c>
      <c r="U187" s="1" t="str">
        <f ca="1" t="shared" si="19"/>
        <v/>
      </c>
    </row>
    <row r="188" customHeight="1" spans="11:21">
      <c r="K188" s="191" t="str">
        <f ca="1" t="shared" si="15"/>
        <v/>
      </c>
      <c r="L188" s="1" t="str">
        <f ca="1" t="shared" si="16"/>
        <v/>
      </c>
      <c r="S188" s="1" t="str">
        <f ca="1" t="shared" si="17"/>
        <v/>
      </c>
      <c r="T188" s="1" t="str">
        <f ca="1" t="shared" si="18"/>
        <v/>
      </c>
      <c r="U188" s="1" t="str">
        <f ca="1" t="shared" si="19"/>
        <v/>
      </c>
    </row>
    <row r="189" customHeight="1" spans="11:21">
      <c r="K189" s="191" t="str">
        <f ca="1" t="shared" si="15"/>
        <v/>
      </c>
      <c r="L189" s="1" t="str">
        <f ca="1" t="shared" si="16"/>
        <v/>
      </c>
      <c r="S189" s="1" t="str">
        <f ca="1" t="shared" si="17"/>
        <v/>
      </c>
      <c r="T189" s="1" t="str">
        <f ca="1" t="shared" si="18"/>
        <v/>
      </c>
      <c r="U189" s="1" t="str">
        <f ca="1" t="shared" si="19"/>
        <v/>
      </c>
    </row>
    <row r="190" customHeight="1" spans="11:21">
      <c r="K190" s="191" t="str">
        <f ca="1" t="shared" si="15"/>
        <v/>
      </c>
      <c r="L190" s="1" t="str">
        <f ca="1" t="shared" si="16"/>
        <v/>
      </c>
      <c r="S190" s="1" t="str">
        <f ca="1" t="shared" si="17"/>
        <v/>
      </c>
      <c r="T190" s="1" t="str">
        <f ca="1" t="shared" si="18"/>
        <v/>
      </c>
      <c r="U190" s="1" t="str">
        <f ca="1" t="shared" si="19"/>
        <v/>
      </c>
    </row>
    <row r="191" customHeight="1" spans="11:21">
      <c r="K191" s="191" t="str">
        <f ca="1" t="shared" si="15"/>
        <v/>
      </c>
      <c r="L191" s="1" t="str">
        <f ca="1" t="shared" si="16"/>
        <v/>
      </c>
      <c r="S191" s="1" t="str">
        <f ca="1" t="shared" si="17"/>
        <v/>
      </c>
      <c r="T191" s="1" t="str">
        <f ca="1" t="shared" si="18"/>
        <v/>
      </c>
      <c r="U191" s="1" t="str">
        <f ca="1" t="shared" si="19"/>
        <v/>
      </c>
    </row>
    <row r="192" customHeight="1" spans="11:21">
      <c r="K192" s="191" t="str">
        <f ca="1" t="shared" si="15"/>
        <v/>
      </c>
      <c r="L192" s="1" t="str">
        <f ca="1" t="shared" si="16"/>
        <v/>
      </c>
      <c r="S192" s="1" t="str">
        <f ca="1" t="shared" si="17"/>
        <v/>
      </c>
      <c r="T192" s="1" t="str">
        <f ca="1" t="shared" si="18"/>
        <v/>
      </c>
      <c r="U192" s="1" t="str">
        <f ca="1" t="shared" si="19"/>
        <v/>
      </c>
    </row>
    <row r="193" customHeight="1" spans="11:21">
      <c r="K193" s="191" t="str">
        <f ca="1" t="shared" si="15"/>
        <v/>
      </c>
      <c r="L193" s="1" t="str">
        <f ca="1" t="shared" si="16"/>
        <v/>
      </c>
      <c r="S193" s="1" t="str">
        <f ca="1" t="shared" si="17"/>
        <v/>
      </c>
      <c r="T193" s="1" t="str">
        <f ca="1" t="shared" si="18"/>
        <v/>
      </c>
      <c r="U193" s="1" t="str">
        <f ca="1" t="shared" si="19"/>
        <v/>
      </c>
    </row>
    <row r="194" customHeight="1" spans="11:21">
      <c r="K194" s="191" t="str">
        <f ca="1" t="shared" si="15"/>
        <v/>
      </c>
      <c r="L194" s="1" t="str">
        <f ca="1" t="shared" si="16"/>
        <v/>
      </c>
      <c r="S194" s="1" t="str">
        <f ca="1" t="shared" si="17"/>
        <v/>
      </c>
      <c r="T194" s="1" t="str">
        <f ca="1" t="shared" si="18"/>
        <v/>
      </c>
      <c r="U194" s="1" t="str">
        <f ca="1" t="shared" si="19"/>
        <v/>
      </c>
    </row>
    <row r="195" customHeight="1" spans="11:21">
      <c r="K195" s="191" t="str">
        <f ca="1" t="shared" si="15"/>
        <v/>
      </c>
      <c r="L195" s="1" t="str">
        <f ca="1" t="shared" si="16"/>
        <v/>
      </c>
      <c r="S195" s="1" t="str">
        <f ca="1" t="shared" si="17"/>
        <v/>
      </c>
      <c r="T195" s="1" t="str">
        <f ca="1" t="shared" si="18"/>
        <v/>
      </c>
      <c r="U195" s="1" t="str">
        <f ca="1" t="shared" si="19"/>
        <v/>
      </c>
    </row>
    <row r="196" customHeight="1" spans="11:21">
      <c r="K196" s="191" t="str">
        <f ca="1" t="shared" si="15"/>
        <v/>
      </c>
      <c r="L196" s="1" t="str">
        <f ca="1" t="shared" si="16"/>
        <v/>
      </c>
      <c r="S196" s="1" t="str">
        <f ca="1" t="shared" si="17"/>
        <v/>
      </c>
      <c r="T196" s="1" t="str">
        <f ca="1" t="shared" si="18"/>
        <v/>
      </c>
      <c r="U196" s="1" t="str">
        <f ca="1" t="shared" si="19"/>
        <v/>
      </c>
    </row>
    <row r="197" customHeight="1" spans="11:21">
      <c r="K197" s="191" t="str">
        <f ca="1" t="shared" si="15"/>
        <v/>
      </c>
      <c r="L197" s="1" t="str">
        <f ca="1" t="shared" si="16"/>
        <v/>
      </c>
      <c r="S197" s="1" t="str">
        <f ca="1" t="shared" si="17"/>
        <v/>
      </c>
      <c r="T197" s="1" t="str">
        <f ca="1" t="shared" si="18"/>
        <v/>
      </c>
      <c r="U197" s="1" t="str">
        <f ca="1" t="shared" si="19"/>
        <v/>
      </c>
    </row>
    <row r="198" customHeight="1" spans="11:21">
      <c r="K198" s="191" t="str">
        <f ca="1" t="shared" si="15"/>
        <v/>
      </c>
      <c r="L198" s="1" t="str">
        <f ca="1" t="shared" si="16"/>
        <v/>
      </c>
      <c r="S198" s="1" t="str">
        <f ca="1" t="shared" si="17"/>
        <v/>
      </c>
      <c r="T198" s="1" t="str">
        <f ca="1" t="shared" si="18"/>
        <v/>
      </c>
      <c r="U198" s="1" t="str">
        <f ca="1" t="shared" si="19"/>
        <v/>
      </c>
    </row>
    <row r="199" customHeight="1" spans="11:21">
      <c r="K199" s="191" t="str">
        <f ca="1" t="shared" si="15"/>
        <v/>
      </c>
      <c r="L199" s="1" t="str">
        <f ca="1" t="shared" si="16"/>
        <v/>
      </c>
      <c r="S199" s="1" t="str">
        <f ca="1" t="shared" si="17"/>
        <v/>
      </c>
      <c r="T199" s="1" t="str">
        <f ca="1" t="shared" si="18"/>
        <v/>
      </c>
      <c r="U199" s="1" t="str">
        <f ca="1" t="shared" si="19"/>
        <v/>
      </c>
    </row>
    <row r="200" customHeight="1" spans="11:21">
      <c r="K200" s="191" t="str">
        <f ca="1" t="shared" si="15"/>
        <v/>
      </c>
      <c r="L200" s="1" t="str">
        <f ca="1" t="shared" si="16"/>
        <v/>
      </c>
      <c r="S200" s="1" t="str">
        <f ca="1" t="shared" si="17"/>
        <v/>
      </c>
      <c r="T200" s="1" t="str">
        <f ca="1" t="shared" si="18"/>
        <v/>
      </c>
      <c r="U200" s="1" t="str">
        <f ca="1" t="shared" si="19"/>
        <v/>
      </c>
    </row>
  </sheetData>
  <autoFilter xmlns:etc="http://www.wps.cn/officeDocument/2017/etCustomData" ref="A2:U200" etc:filterBottomFollowUsedRange="0">
    <extLst/>
  </autoFilter>
  <mergeCells count="1">
    <mergeCell ref="A1:U1"/>
  </mergeCells>
  <conditionalFormatting sqref="B18">
    <cfRule type="expression" dxfId="0" priority="1">
      <formula>$N18="Cancelled"</formula>
    </cfRule>
    <cfRule type="expression" dxfId="1" priority="2">
      <formula>$N18="Awarded"</formula>
    </cfRule>
    <cfRule type="expression" dxfId="2" priority="3">
      <formula>$N18="Submitted"</formula>
    </cfRule>
    <cfRule type="expression" dxfId="3" priority="4">
      <formula>$N18="Submitting"</formula>
    </cfRule>
    <cfRule type="expression" dxfId="4" priority="5">
      <formula>$N18="Under Evaluation"</formula>
    </cfRule>
    <cfRule type="expression" dxfId="5" priority="6">
      <formula>$N18="Lost"</formula>
    </cfRule>
    <cfRule type="expression" dxfId="6" priority="7">
      <formula>AND($I18&lt;&gt;"",$I18=TODAY(),AND($N18&lt;&gt;"Cancelled",$N18&lt;&gt;"Submitted",$N18&lt;&gt;"Submitting",$N18&lt;&gt;"Awarded",$N18&lt;&gt;"Lost",$N18&lt;&gt;"Under Evaluation"))</formula>
    </cfRule>
    <cfRule type="expression" dxfId="7" priority="8">
      <formula>AND($I18&lt;&gt;"",$I18&lt;TODAY(),AND($N18&lt;&gt;"Cancelled",$N18&lt;&gt;"Submitted",$N18&lt;&gt;"Submitting",$N18&lt;&gt;"Awarded",$N18&lt;&gt;"Lost",$N18&lt;&gt;"Under Evaluation"))</formula>
    </cfRule>
    <cfRule type="expression" dxfId="8" priority="9">
      <formula>AND($I18&lt;&gt;"",$I18=TODAY()+1,AND($N18&lt;&gt;"Cancelled",$N18&lt;&gt;"Submitted",$N18&lt;&gt;"Submitting",$N18&lt;&gt;"Awarded",$N18&lt;&gt;"Lost",$N18&lt;&gt;"Under Evaluation"))</formula>
    </cfRule>
    <cfRule type="expression" dxfId="9" priority="10">
      <formula>AND($I18&lt;&gt;"",$I18&gt;=TODAY()+2,$I18&lt;=TODAY()+4,AND($N18&lt;&gt;"Cancelled",$N18&lt;&gt;"Submitted",$N18&lt;&gt;"Submitting",$N18&lt;&gt;"Awarded",$N18&lt;&gt;"Lost",$N18&lt;&gt;"Under Evaluation"))</formula>
    </cfRule>
    <cfRule type="expression" dxfId="10" priority="11">
      <formula>AND($I18&lt;&gt;"",$I18&gt;=TODAY()+5,AND($N18&lt;&gt;"Cancelled",$N18&lt;&gt;"Submitted",$N18&lt;&gt;"Submitting",$N18&lt;&gt;"Awarded",$N18&lt;&gt;"Lost",$N18&lt;&gt;"Under Evaluation"))</formula>
    </cfRule>
  </conditionalFormatting>
  <conditionalFormatting sqref="C18">
    <cfRule type="expression" dxfId="0" priority="12">
      <formula>$N18="Cancelled"</formula>
    </cfRule>
    <cfRule type="expression" dxfId="1" priority="13">
      <formula>$N18="Awarded"</formula>
    </cfRule>
    <cfRule type="expression" dxfId="2" priority="14">
      <formula>$N18="Submitted"</formula>
    </cfRule>
    <cfRule type="expression" dxfId="3" priority="15">
      <formula>$N18="Submitting"</formula>
    </cfRule>
    <cfRule type="expression" dxfId="4" priority="16">
      <formula>$N18="Under Evaluation"</formula>
    </cfRule>
    <cfRule type="expression" dxfId="5" priority="17">
      <formula>$N18="Lost"</formula>
    </cfRule>
    <cfRule type="expression" dxfId="6" priority="18">
      <formula>AND($I18&lt;&gt;"",$I18=TODAY(),AND($N18&lt;&gt;"Cancelled",$N18&lt;&gt;"Submitted",$N18&lt;&gt;"Submitting",$N18&lt;&gt;"Awarded",$N18&lt;&gt;"Lost",$N18&lt;&gt;"Under Evaluation"))</formula>
    </cfRule>
    <cfRule type="expression" dxfId="7" priority="19">
      <formula>AND($I18&lt;&gt;"",$I18&lt;TODAY(),AND($N18&lt;&gt;"Cancelled",$N18&lt;&gt;"Submitted",$N18&lt;&gt;"Submitting",$N18&lt;&gt;"Awarded",$N18&lt;&gt;"Lost",$N18&lt;&gt;"Under Evaluation"))</formula>
    </cfRule>
    <cfRule type="expression" dxfId="8" priority="20">
      <formula>AND($I18&lt;&gt;"",$I18=TODAY()+1,AND($N18&lt;&gt;"Cancelled",$N18&lt;&gt;"Submitted",$N18&lt;&gt;"Submitting",$N18&lt;&gt;"Awarded",$N18&lt;&gt;"Lost",$N18&lt;&gt;"Under Evaluation"))</formula>
    </cfRule>
    <cfRule type="expression" dxfId="9" priority="21">
      <formula>AND($I18&lt;&gt;"",$I18&gt;=TODAY()+2,$I18&lt;=TODAY()+4,AND($N18&lt;&gt;"Cancelled",$N18&lt;&gt;"Submitted",$N18&lt;&gt;"Submitting",$N18&lt;&gt;"Awarded",$N18&lt;&gt;"Lost",$N18&lt;&gt;"Under Evaluation"))</formula>
    </cfRule>
    <cfRule type="expression" dxfId="10" priority="22">
      <formula>AND($I18&lt;&gt;"",$I18&gt;=TODAY()+5,AND($N18&lt;&gt;"Cancelled",$N18&lt;&gt;"Submitted",$N18&lt;&gt;"Submitting",$N18&lt;&gt;"Awarded",$N18&lt;&gt;"Lost",$N18&lt;&gt;"Under Evaluation"))</formula>
    </cfRule>
  </conditionalFormatting>
  <conditionalFormatting sqref="L3:L200">
    <cfRule type="expression" dxfId="6" priority="51">
      <formula>$L3="High"</formula>
    </cfRule>
    <cfRule type="expression" dxfId="8" priority="52">
      <formula>$L3="Medium"</formula>
    </cfRule>
    <cfRule type="expression" dxfId="10" priority="53">
      <formula>$L3="Low"</formula>
    </cfRule>
  </conditionalFormatting>
  <conditionalFormatting sqref="N3:N200">
    <cfRule type="expression" dxfId="11" priority="35">
      <formula>$N3="Cancelled"</formula>
    </cfRule>
    <cfRule type="expression" dxfId="12" priority="36">
      <formula>$N3="Lost"</formula>
    </cfRule>
    <cfRule type="expression" dxfId="1" priority="37">
      <formula>$N3="Awarded"</formula>
    </cfRule>
    <cfRule type="expression" dxfId="2" priority="38">
      <formula>$N3="Submitted"</formula>
    </cfRule>
    <cfRule type="expression" dxfId="3" priority="39">
      <formula>$N3="Submitting"</formula>
    </cfRule>
    <cfRule type="expression" dxfId="4" priority="40">
      <formula>$N3="Under Evaluation"</formula>
    </cfRule>
    <cfRule type="expression" dxfId="13" priority="41">
      <formula>$N3="Preparing Documents"</formula>
    </cfRule>
    <cfRule type="expression" dxfId="14" priority="42">
      <formula>$N3="For Canvas"</formula>
    </cfRule>
    <cfRule type="expression" dxfId="15" priority="43">
      <formula>$N3="Interested"</formula>
    </cfRule>
    <cfRule type="expression" dxfId="16" priority="44">
      <formula>$N3="For Review"</formula>
    </cfRule>
    <cfRule type="expression" dxfId="17" priority="45">
      <formula>$N3="Pending"</formula>
    </cfRule>
    <cfRule type="expression" dxfId="18" priority="46">
      <formula>$N3="New"</formula>
    </cfRule>
  </conditionalFormatting>
  <conditionalFormatting sqref="R3:R200">
    <cfRule type="expression" dxfId="19" priority="47">
      <formula>$R3="Won"</formula>
    </cfRule>
    <cfRule type="expression" dxfId="12" priority="48">
      <formula>$R3="Lost"</formula>
    </cfRule>
    <cfRule type="expression" dxfId="7" priority="49">
      <formula>$R3="Cancelled"</formula>
    </cfRule>
    <cfRule type="expression" dxfId="17" priority="50">
      <formula>$R3="Pending"</formula>
    </cfRule>
  </conditionalFormatting>
  <conditionalFormatting sqref="T3:T200">
    <cfRule type="expression" dxfId="20" priority="54">
      <formula>$T3="🚨 FLAG"</formula>
    </cfRule>
  </conditionalFormatting>
  <conditionalFormatting sqref="A3:U17 A18 D18:U18 A19:U200">
    <cfRule type="expression" dxfId="0" priority="24">
      <formula>$N3="Cancelled"</formula>
    </cfRule>
    <cfRule type="expression" dxfId="1" priority="25">
      <formula>$N3="Awarded"</formula>
    </cfRule>
    <cfRule type="expression" dxfId="2" priority="26">
      <formula>$N3="Submitted"</formula>
    </cfRule>
    <cfRule type="expression" dxfId="3" priority="27">
      <formula>$N3="Submitting"</formula>
    </cfRule>
    <cfRule type="expression" dxfId="4" priority="28">
      <formula>$N3="Under Evaluation"</formula>
    </cfRule>
    <cfRule type="expression" dxfId="5" priority="29">
      <formula>$N3="Lost"</formula>
    </cfRule>
    <cfRule type="expression" dxfId="6" priority="30">
      <formula>AND($I3&lt;&gt;"",$I3=TODAY(),AND($N3&lt;&gt;"Cancelled",$N3&lt;&gt;"Submitted",$N3&lt;&gt;"Submitting",$N3&lt;&gt;"Awarded",$N3&lt;&gt;"Lost",$N3&lt;&gt;"Under Evaluation"))</formula>
    </cfRule>
    <cfRule type="expression" dxfId="7" priority="31">
      <formula>AND($I3&lt;&gt;"",$I3&lt;TODAY(),AND($N3&lt;&gt;"Cancelled",$N3&lt;&gt;"Submitted",$N3&lt;&gt;"Submitting",$N3&lt;&gt;"Awarded",$N3&lt;&gt;"Lost",$N3&lt;&gt;"Under Evaluation"))</formula>
    </cfRule>
    <cfRule type="expression" dxfId="8" priority="32">
      <formula>AND($I3&lt;&gt;"",$I3=TODAY()+1,AND($N3&lt;&gt;"Cancelled",$N3&lt;&gt;"Submitted",$N3&lt;&gt;"Submitting",$N3&lt;&gt;"Awarded",$N3&lt;&gt;"Lost",$N3&lt;&gt;"Under Evaluation"))</formula>
    </cfRule>
    <cfRule type="expression" dxfId="9" priority="33">
      <formula>AND($I3&lt;&gt;"",$I3&gt;=TODAY()+2,$I3&lt;=TODAY()+4,AND($N3&lt;&gt;"Cancelled",$N3&lt;&gt;"Submitted",$N3&lt;&gt;"Submitting",$N3&lt;&gt;"Awarded",$N3&lt;&gt;"Lost",$N3&lt;&gt;"Under Evaluation"))</formula>
    </cfRule>
    <cfRule type="expression" dxfId="10" priority="34">
      <formula>AND($I3&lt;&gt;"",$I3&gt;=TODAY()+5,AND($N3&lt;&gt;"Cancelled",$N3&lt;&gt;"Submitted",$N3&lt;&gt;"Submitting",$N3&lt;&gt;"Awarded",$N3&lt;&gt;"Lost",$N3&lt;&gt;"Under Evaluation"))</formula>
    </cfRule>
  </conditionalFormatting>
  <dataValidations count="6">
    <dataValidation type="list" allowBlank="1" showInputMessage="1" showErrorMessage="1" sqref="E6">
      <formula1>"Office Supplies,IT Equipment,Hardware,Electrical,Medical/Dental,Furniture,Janitorial,Printing,Construction,Other,Fertilizers,Tokens and Awards,Food Stuff"</formula1>
    </dataValidation>
    <dataValidation type="list" allowBlank="1" showInputMessage="1" showErrorMessage="1" sqref="E7 E3:E5 E9:E36">
      <formula1>"Office Supplies,IT Equipment,Hardware,Electrical,Medical/Dental,Furniture,Janitorial,Printing,Construction,Other,Fertilizers,Food Stuff,General Merchandise,Animal Feeds,Hygiene Kits,Tokens and Awards,Inks"</formula1>
    </dataValidation>
    <dataValidation type="list" allowBlank="1" showInputMessage="1" showErrorMessage="1" sqref="E8">
      <formula1>"Office Supplies,IT Equipment,Hardware,Electrical,Medical/Dental,Furniture,Janitorial,Printing,Construction,Other,Fertilizers,General Merchandise"</formula1>
    </dataValidation>
    <dataValidation type="list" allowBlank="1" sqref="L3:L1000">
      <formula1>"High,Medium,Low"</formula1>
    </dataValidation>
    <dataValidation type="list" allowBlank="1" showInputMessage="1" showErrorMessage="1" sqref="N3:N1000">
      <formula1>"New,For Review,Interested,Preparing Documents,Submitted,Under Evaluation,Awarded,Lost,Cancelled,Submitting,Pending,For Canvas,For Request Docs,For Checking"</formula1>
    </dataValidation>
    <dataValidation type="list" allowBlank="1" sqref="R3:R1000">
      <formula1>"Won,Lost,Cancelled,Pending"</formula1>
    </dataValidation>
  </dataValidations>
  <hyperlinks>
    <hyperlink ref="V20" r:id="rId1" display="E:\za\Agencies\June 11, 2026\DST - Caraga\Request for Quotation-LAPTOP.pdf"/>
    <hyperlink ref="V19" r:id="rId2" display="E:\za\Agencies\June 11, 2026\DPWH - Caraga\SPECS FOR PR NO. 2026-06-0105 DATED 06-02-2026.pdf"/>
    <hyperlink ref="V18" r:id="rId3" display="E:\za\Agencies\June 11, 2026\DOH - Caraga\TOKEN AND AWARDS.pdf"/>
    <hyperlink ref="V3" r:id="rId4" display="E:\za\Agencies\May 30, 2026\CRH\A. TECHNICAL SPECS.pdf"/>
    <hyperlink ref="V22" r:id="rId5" display="E:\za\Agencies\June 11, 2026\DSWD - Caraga\Request for Quotation.pdf"/>
    <hyperlink ref="V23" r:id="rId6" display="C:\Users\admin\Desktop\BHM-PhilGeps\Agencies\June 11, 2026\DSWD_1 - Caraga\NP- TWO FAILED BIDDING - NEGOTIATION DOCUMENT.pdf"/>
    <hyperlink ref="V25" r:id="rId7" display="C:\Users\admin\Desktop\BHM-PhilGeps\Agencies\June 11, 2026\NEMSU Tandag Campus - 1\RFQ.pdf"/>
    <hyperlink ref="V24" r:id="rId8" display="C:\Users\admin\Desktop\BHM-PhilGeps\Agencies\June 11, 2026\NEMSU Tandag Campus\RFQ.pdf"/>
    <hyperlink ref="V17" r:id="rId9" display="..\..\..\..\..\..\..\..\..\Agencies\June 09, 2026\DA - CARAGA\Bidding Document.pdf"/>
    <hyperlink ref="V26" r:id="rId10" display="..\..\..\..\..\..\..\..\..\Agencies\June 14, 2026\DSWD - CARAGA\BIDDING DOCUMENTS.pdf"/>
    <hyperlink ref="V27" r:id="rId11" display="..\..\..\..\..\..\..\..\..\Agencies\June 14, 2026\DEPED - CARAGA\1781328153_2026_06_0245_Supplies_Jalalon.pdf"/>
    <hyperlink ref="V28" r:id="rId12" display="..\..\..\..\..\..\..\..\..\Agencies\June 14, 2026\DSWD_BACUAG- CARAGA\NP- TWO FAILED BIDDING - NEGOTIATION DOCUMENT.pdf"/>
    <hyperlink ref="V29" r:id="rId13" display="..\..\..\..\..\..\..\..\..\Agencies\JUNE 17, 2026\CSU - CARAGA\Canvass Form.pdf"/>
    <hyperlink ref="V30" r:id="rId14" display="..\..\..\..\..\..\..\..\..\Agencies\June 18, 2026\Cabadbaran Elem\Grocery Items.pdf"/>
    <hyperlink ref="V31" r:id="rId15" display="C:\Users\admin\Desktop\BHM-PhilGeps\Agencies\June 18, 2026\DEPED - CBR_FISH\Grocery Items - fish.pdf"/>
    <hyperlink ref="V32" r:id="rId16" display="C:\Users\admin\Desktop\BHM-PhilGeps\Agencies\June 18, 2026\DEPED - CBR_FISH\Grocery Items - fish.pdf"/>
    <hyperlink ref="V33" r:id="rId17" display="C:\Users\admin\Desktop\PHILGEPS\13062125.pdf"/>
    <hyperlink ref="V34" r:id="rId18" display="C:\Users\admin\Desktop\PHILGEPS\13061994.pdf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showGridLines="0" zoomScale="70" zoomScaleNormal="70" workbookViewId="0">
      <pane ySplit="5" topLeftCell="A9" activePane="bottomLeft" state="frozen"/>
      <selection/>
      <selection pane="bottomLeft" activeCell="B13" sqref="B13"/>
    </sheetView>
  </sheetViews>
  <sheetFormatPr defaultColWidth="8.71428571428571" defaultRowHeight="15"/>
  <cols>
    <col min="1" max="1" width="13" style="1" customWidth="1"/>
    <col min="2" max="2" width="32" style="1" customWidth="1"/>
    <col min="3" max="3" width="26" style="1" customWidth="1"/>
    <col min="4" max="4" width="16" style="1" customWidth="1"/>
    <col min="5" max="5" width="12" style="1" customWidth="1"/>
    <col min="6" max="7" width="13" style="1" customWidth="1"/>
    <col min="8" max="8" width="9" style="1" customWidth="1"/>
    <col min="9" max="9" width="20" style="1" customWidth="1"/>
    <col min="10" max="10" width="10" style="1" customWidth="1"/>
  </cols>
  <sheetData>
    <row r="1" ht="39.75" customHeight="1" spans="1:10">
      <c r="A1" s="128" t="s">
        <v>157</v>
      </c>
      <c r="B1" s="128"/>
      <c r="C1" s="128"/>
      <c r="D1" s="128"/>
      <c r="E1" s="128"/>
      <c r="F1" s="128"/>
      <c r="G1" s="128"/>
      <c r="H1" s="128"/>
      <c r="I1" s="128"/>
      <c r="J1" s="128"/>
    </row>
    <row r="2" ht="19.5" customHeight="1" spans="1:10">
      <c r="A2" s="129" t="s">
        <v>158</v>
      </c>
      <c r="B2" s="129"/>
      <c r="C2" s="129"/>
      <c r="D2" s="129"/>
      <c r="E2" s="129"/>
      <c r="F2" s="129"/>
      <c r="G2" s="129"/>
      <c r="H2" s="129"/>
      <c r="I2" s="129"/>
      <c r="J2" s="129"/>
    </row>
    <row r="3" ht="21.75" customHeight="1" spans="1:10">
      <c r="B3" s="130" t="s">
        <v>159</v>
      </c>
      <c r="C3" s="130" t="s">
        <v>160</v>
      </c>
      <c r="D3" s="130" t="s">
        <v>161</v>
      </c>
      <c r="E3" s="130" t="s">
        <v>162</v>
      </c>
      <c r="F3" s="130" t="s">
        <v>163</v>
      </c>
    </row>
    <row r="4" ht="27.75" customHeight="1" spans="1:10">
      <c r="B4" s="131" t="s">
        <v>164</v>
      </c>
      <c r="C4" s="131" t="s">
        <v>164</v>
      </c>
      <c r="D4" s="131" t="s">
        <v>164</v>
      </c>
      <c r="E4" s="131" t="s">
        <v>165</v>
      </c>
      <c r="F4" s="131" t="s">
        <v>164</v>
      </c>
    </row>
    <row r="5" ht="7.5" customHeight="1"/>
    <row r="6" ht="25.5" customHeight="1" spans="1:10">
      <c r="A6" s="132" t="s">
        <v>166</v>
      </c>
      <c r="B6" s="132"/>
      <c r="C6" s="132"/>
      <c r="D6" s="132"/>
      <c r="E6" s="132"/>
      <c r="F6" s="132"/>
      <c r="G6" s="132"/>
      <c r="H6" s="132"/>
      <c r="I6" s="132"/>
      <c r="J6" s="132"/>
    </row>
    <row r="7" ht="24" customHeight="1" spans="1:10">
      <c r="A7" s="133" t="s">
        <v>16</v>
      </c>
      <c r="B7" s="133"/>
      <c r="C7" s="134" t="s">
        <v>5</v>
      </c>
      <c r="D7" s="134"/>
      <c r="E7" s="135" t="s">
        <v>167</v>
      </c>
      <c r="F7" s="135"/>
      <c r="G7" s="136" t="s">
        <v>8</v>
      </c>
      <c r="H7" s="136"/>
      <c r="I7" s="137" t="s">
        <v>17</v>
      </c>
      <c r="J7" s="137"/>
    </row>
    <row r="8" ht="19.5" customHeight="1" spans="1:10">
      <c r="A8" s="63" t="s">
        <v>168</v>
      </c>
      <c r="B8" s="63"/>
      <c r="C8" s="64" t="s">
        <v>169</v>
      </c>
      <c r="D8" s="64"/>
      <c r="E8" s="138" t="s">
        <v>170</v>
      </c>
      <c r="F8" s="138"/>
      <c r="G8" s="69" t="s">
        <v>171</v>
      </c>
      <c r="H8" s="69"/>
      <c r="I8" s="75" t="s">
        <v>172</v>
      </c>
      <c r="J8" s="75"/>
    </row>
    <row r="9" ht="31.5" customHeight="1" spans="1:10">
      <c r="A9" s="139">
        <f ca="1">IFERROR(COUNTIFS('Bid Monitoring'!B3:B200,"&lt;&gt;",'Bid Monitoring'!N3:N200,IF(B4="All","*",B4),'Bid Monitoring'!L3:L200,IF(C4="All","&lt;&gt;""",C4),'Bid Monitoring'!F3:F200,IF(D4="All","*",D4),'Bid Monitoring'!E3:E200,IF(E4="All","*",E4),'Bid Monitoring'!R3:R200,IF(F4="All","*",F4)),0)</f>
        <v>0</v>
      </c>
      <c r="B9" s="139"/>
      <c r="C9" s="140">
        <f ca="1">IFERROR(SUMPRODUCT(('Bid Monitoring'!B3:B200&lt;&gt;"")*(IF(B4="All",1,'Bid Monitoring'!N3:N200=B4))*(IF(C4="All",1,'Bid Monitoring'!L3:L200=C4))*(IF(D4="All",1,'Bid Monitoring'!F3:F200=D4))*(IF(E4="All",1,'Bid Monitoring'!E3:E200=E4))*(IF(F4="All",1,'Bid Monitoring'!R3:R200=F4))*'Bid Monitoring'!H3:H200),0)</f>
        <v>0</v>
      </c>
      <c r="D9" s="140"/>
      <c r="E9" s="141">
        <f ca="1">IFERROR(COUNTIFS('Bid Monitoring'!B3:B200,"&lt;&gt;",'Bid Monitoring'!N3:N200,IF(B4="All","*",B4),'Bid Monitoring'!L3:L200,IF(C4="All","&lt;&gt;""",C4),'Bid Monitoring'!F3:F200,IF(D4="All","*",D4),'Bid Monitoring'!E3:E200,IF(E4="All","*",E4),'Bid Monitoring'!R3:R200,IF(F4="All","*",F4),'Bid Monitoring'!L3:L200,"High"),0)</f>
        <v>0</v>
      </c>
      <c r="F9" s="141"/>
      <c r="G9" s="142">
        <f ca="1">IFERROR(COUNTIFS('Bid Monitoring'!B3:B200,"&lt;&gt;",'Bid Monitoring'!N3:N200,IF(B4="All","*",B4),'Bid Monitoring'!L3:L200,IF(C4="All","&lt;&gt;""",C4),'Bid Monitoring'!F3:F200,IF(D4="All","*",D4),'Bid Monitoring'!E3:E200,IF(E4="All","*",E4),'Bid Monitoring'!R3:R200,IF(F4="All","*",F4),'Bid Monitoring'!N3:N200,"Submitted"),0)</f>
        <v>0</v>
      </c>
      <c r="H9" s="142"/>
      <c r="I9" s="143">
        <f ca="1">IFERROR(COUNTIFS('Bid Monitoring'!B3:B200,"&lt;&gt;",'Bid Monitoring'!N3:N200,IF(B4="All","*",B4),'Bid Monitoring'!L3:L200,IF(C4="All","&lt;&gt;""",C4),'Bid Monitoring'!F3:F200,IF(D4="All","*",D4),'Bid Monitoring'!E3:E200,IF(E4="All","*",E4),'Bid Monitoring'!R3:R200,IF(F4="All","*",F4),'Bid Monitoring'!N3:N200,"Awarded"),0)</f>
        <v>0</v>
      </c>
      <c r="J9" s="143"/>
    </row>
    <row r="10" ht="7.5" customHeight="1"/>
    <row r="11" ht="24" customHeight="1" spans="1:10">
      <c r="A11" s="144" t="s">
        <v>173</v>
      </c>
      <c r="B11" s="144"/>
      <c r="C11" s="144"/>
      <c r="D11" s="144"/>
      <c r="E11" s="144"/>
      <c r="F11" s="144"/>
      <c r="G11" s="144"/>
      <c r="H11" s="144"/>
      <c r="I11" s="144"/>
      <c r="J11" s="144"/>
    </row>
    <row r="12" ht="25.5" customHeight="1" spans="1:10">
      <c r="A12" s="145" t="s">
        <v>174</v>
      </c>
      <c r="B12" s="145" t="s">
        <v>30</v>
      </c>
      <c r="C12" s="145" t="s">
        <v>31</v>
      </c>
      <c r="D12" s="145" t="s">
        <v>36</v>
      </c>
      <c r="E12" s="145" t="s">
        <v>32</v>
      </c>
      <c r="F12" s="145" t="s">
        <v>33</v>
      </c>
      <c r="G12" s="145" t="s">
        <v>34</v>
      </c>
      <c r="H12" s="145" t="s">
        <v>35</v>
      </c>
      <c r="I12" s="145" t="s">
        <v>37</v>
      </c>
      <c r="J12" s="145" t="s">
        <v>175</v>
      </c>
    </row>
    <row r="13" ht="19.5" customHeight="1" spans="1:10">
      <c r="A13" s="146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Monitoring'!B3,"")</f>
        <v/>
      </c>
      <c r="B13" s="147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Monitoring'!D3,"")</f>
        <v/>
      </c>
      <c r="C13" s="147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Monitoring'!C3,"")</f>
        <v/>
      </c>
      <c r="D13" s="146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Monitoring'!E3,"")</f>
        <v/>
      </c>
      <c r="E13" s="146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Monitoring'!F3,"")</f>
        <v/>
      </c>
      <c r="F13" s="148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Monitoring'!H3,"")</f>
        <v/>
      </c>
      <c r="G13" s="149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Monitoring'!I3,"")</f>
        <v/>
      </c>
      <c r="H13" s="150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Monitoring'!K3,"")</f>
        <v/>
      </c>
      <c r="I13" s="146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Monitoring'!N3,"")</f>
        <v/>
      </c>
      <c r="J13" s="146" t="str">
        <f ca="1">IF(AND('Bid Monitoring'!B3&lt;&gt;"",IF(B4="All",TRUE(),'Bid Monitoring'!N3=B4),IF(C4="All",TRUE(),'Bid Monitoring'!L3=C4),IF(D4="All",TRUE(),'Bid Monitoring'!F3=D4),IF(E4="All",TRUE(),'Bid Monitoring'!E3=E4),IF(F4="All",TRUE(),'Bid Monitoring'!R3=F4)),'Bid Monitoring'!L3,"")</f>
        <v/>
      </c>
    </row>
    <row r="14" ht="19.5" customHeight="1" spans="1:10">
      <c r="A14" s="151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Monitoring'!B4,"")</f>
        <v/>
      </c>
      <c r="B14" s="152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Monitoring'!D4,"")</f>
        <v/>
      </c>
      <c r="C14" s="152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Monitoring'!C4,"")</f>
        <v/>
      </c>
      <c r="D14" s="151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Monitoring'!E4,"")</f>
        <v/>
      </c>
      <c r="E14" s="151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Monitoring'!F4,"")</f>
        <v/>
      </c>
      <c r="F14" s="153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Monitoring'!H4,"")</f>
        <v/>
      </c>
      <c r="G14" s="154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Monitoring'!I4,"")</f>
        <v/>
      </c>
      <c r="H14" s="155" t="str">
        <f ca="1">IF(AND('Bid Monitoring'!B4&lt;&gt;"",IF(B4="All",TRUE(),'Bid Monitoring'!N4=B4),IF(C4="All",TRUE(),'Bid Monitoring'!L4=C4),IF(D4="All",TRUE(),'Bid Monitoring'!F4=D4),IF(E4="All",TRUE(),'Bid Monitoring'!E4=E4),IF(F4="All",TRUE(),'Bid Monitoring'!R4=F4)),'Bid Monitoring'!K4,"")</f>
        <v/>
      </c>
      <c r="I14" s="151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Monitoring'!N4,"")</f>
        <v/>
      </c>
      <c r="J14" s="151" t="str">
        <f>IF(AND('Bid Monitoring'!B4&lt;&gt;"",IF(B4="All",TRUE(),'Bid Monitoring'!N4=B4),IF(C4="All",TRUE(),'Bid Monitoring'!L4=C4),IF(D4="All",TRUE(),'Bid Monitoring'!F4=D4),IF(E4="All",TRUE(),'Bid Monitoring'!E4=E4),IF(F4="All",TRUE(),'Bid Monitoring'!R4=F4)),'Bid Monitoring'!L4,"")</f>
        <v/>
      </c>
    </row>
    <row r="15" ht="19.5" customHeight="1" spans="1:10">
      <c r="A15" s="146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Monitoring'!B5,"")</f>
        <v/>
      </c>
      <c r="B15" s="147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Monitoring'!D5,"")</f>
        <v/>
      </c>
      <c r="C15" s="147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Monitoring'!C5,"")</f>
        <v/>
      </c>
      <c r="D15" s="146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Monitoring'!E5,"")</f>
        <v/>
      </c>
      <c r="E15" s="146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Monitoring'!F5,"")</f>
        <v/>
      </c>
      <c r="F15" s="148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Monitoring'!H5,"")</f>
        <v/>
      </c>
      <c r="G15" s="149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Monitoring'!I5,"")</f>
        <v/>
      </c>
      <c r="H15" s="150" t="str">
        <f ca="1">IF(AND('Bid Monitoring'!B5&lt;&gt;"",IF(B4="All",TRUE(),'Bid Monitoring'!N5=B4),IF(C4="All",TRUE(),'Bid Monitoring'!L5=C4),IF(D4="All",TRUE(),'Bid Monitoring'!F5=D4),IF(E4="All",TRUE(),'Bid Monitoring'!E5=E4),IF(F4="All",TRUE(),'Bid Monitoring'!R5=F4)),'Bid Monitoring'!K5,"")</f>
        <v/>
      </c>
      <c r="I15" s="146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Monitoring'!N5,"")</f>
        <v/>
      </c>
      <c r="J15" s="146" t="str">
        <f>IF(AND('Bid Monitoring'!B5&lt;&gt;"",IF(B4="All",TRUE(),'Bid Monitoring'!N5=B4),IF(C4="All",TRUE(),'Bid Monitoring'!L5=C4),IF(D4="All",TRUE(),'Bid Monitoring'!F5=D4),IF(E4="All",TRUE(),'Bid Monitoring'!E5=E4),IF(F4="All",TRUE(),'Bid Monitoring'!R5=F4)),'Bid Monitoring'!L5,"")</f>
        <v/>
      </c>
    </row>
    <row r="16" ht="19.5" customHeight="1" spans="1:10">
      <c r="A16" s="151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Monitoring'!B6,"")</f>
        <v/>
      </c>
      <c r="B16" s="152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Monitoring'!D6,"")</f>
        <v/>
      </c>
      <c r="C16" s="152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Monitoring'!C6,"")</f>
        <v/>
      </c>
      <c r="D16" s="151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Monitoring'!E6,"")</f>
        <v/>
      </c>
      <c r="E16" s="151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Monitoring'!F6,"")</f>
        <v/>
      </c>
      <c r="F16" s="153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Monitoring'!H6,"")</f>
        <v/>
      </c>
      <c r="G16" s="154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Monitoring'!I6,"")</f>
        <v/>
      </c>
      <c r="H16" s="155" t="str">
        <f ca="1">IF(AND('Bid Monitoring'!B6&lt;&gt;"",IF(B4="All",TRUE(),'Bid Monitoring'!N6=B4),IF(C4="All",TRUE(),'Bid Monitoring'!L6=C4),IF(D4="All",TRUE(),'Bid Monitoring'!F6=D4),IF(E4="All",TRUE(),'Bid Monitoring'!E6=E4),IF(F4="All",TRUE(),'Bid Monitoring'!R6=F4)),'Bid Monitoring'!K6,"")</f>
        <v/>
      </c>
      <c r="I16" s="151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Monitoring'!N6,"")</f>
        <v/>
      </c>
      <c r="J16" s="151" t="str">
        <f>IF(AND('Bid Monitoring'!B6&lt;&gt;"",IF(B4="All",TRUE(),'Bid Monitoring'!N6=B4),IF(C4="All",TRUE(),'Bid Monitoring'!L6=C4),IF(D4="All",TRUE(),'Bid Monitoring'!F6=D4),IF(E4="All",TRUE(),'Bid Monitoring'!E6=E4),IF(F4="All",TRUE(),'Bid Monitoring'!R6=F4)),'Bid Monitoring'!L6,"")</f>
        <v/>
      </c>
    </row>
    <row r="17" ht="27" customHeight="1" spans="1:10">
      <c r="A17" s="146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Monitoring'!B7,"")</f>
        <v/>
      </c>
      <c r="B17" s="147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Monitoring'!D7,"")</f>
        <v/>
      </c>
      <c r="C17" s="147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Monitoring'!C7,"")</f>
        <v/>
      </c>
      <c r="D17" s="146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Monitoring'!E7,"")</f>
        <v/>
      </c>
      <c r="E17" s="146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Monitoring'!F7,"")</f>
        <v/>
      </c>
      <c r="F17" s="148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Monitoring'!H7,"")</f>
        <v/>
      </c>
      <c r="G17" s="149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Monitoring'!I7,"")</f>
        <v/>
      </c>
      <c r="H17" s="150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Monitoring'!K7,"")</f>
        <v/>
      </c>
      <c r="I17" s="146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Monitoring'!N7,"")</f>
        <v/>
      </c>
      <c r="J17" s="146" t="str">
        <f ca="1">IF(AND('Bid Monitoring'!B7&lt;&gt;"",IF(B4="All",TRUE(),'Bid Monitoring'!N7=B4),IF(C4="All",TRUE(),'Bid Monitoring'!L7=C4),IF(D4="All",TRUE(),'Bid Monitoring'!F7=D4),IF(E4="All",TRUE(),'Bid Monitoring'!E7=E4),IF(F4="All",TRUE(),'Bid Monitoring'!R7=F4)),'Bid Monitoring'!L7,"")</f>
        <v/>
      </c>
    </row>
    <row r="18" ht="19.5" customHeight="1" spans="1:10">
      <c r="A18" s="151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Monitoring'!B8,"")</f>
        <v/>
      </c>
      <c r="B18" s="152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Monitoring'!D8,"")</f>
        <v/>
      </c>
      <c r="C18" s="152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Monitoring'!C8,"")</f>
        <v/>
      </c>
      <c r="D18" s="151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Monitoring'!E8,"")</f>
        <v/>
      </c>
      <c r="E18" s="151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Monitoring'!F8,"")</f>
        <v/>
      </c>
      <c r="F18" s="153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Monitoring'!H8,"")</f>
        <v/>
      </c>
      <c r="G18" s="154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Monitoring'!I8,"")</f>
        <v/>
      </c>
      <c r="H18" s="155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Monitoring'!K8,"")</f>
        <v/>
      </c>
      <c r="I18" s="151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Monitoring'!N8,"")</f>
        <v/>
      </c>
      <c r="J18" s="151" t="str">
        <f ca="1">IF(AND('Bid Monitoring'!B8&lt;&gt;"",IF(B4="All",TRUE(),'Bid Monitoring'!N8=B4),IF(C4="All",TRUE(),'Bid Monitoring'!L8=C4),IF(D4="All",TRUE(),'Bid Monitoring'!F8=D4),IF(E4="All",TRUE(),'Bid Monitoring'!E8=E4),IF(F4="All",TRUE(),'Bid Monitoring'!R8=F4)),'Bid Monitoring'!L8,"")</f>
        <v/>
      </c>
    </row>
    <row r="19" ht="19.5" customHeight="1" spans="1:10">
      <c r="A19" s="146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Monitoring'!B9,"")</f>
        <v/>
      </c>
      <c r="B19" s="147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Monitoring'!D9,"")</f>
        <v/>
      </c>
      <c r="C19" s="147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Monitoring'!C9,"")</f>
        <v/>
      </c>
      <c r="D19" s="146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Monitoring'!E9,"")</f>
        <v/>
      </c>
      <c r="E19" s="146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Monitoring'!F9,"")</f>
        <v/>
      </c>
      <c r="F19" s="148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Monitoring'!H9,"")</f>
        <v/>
      </c>
      <c r="G19" s="149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Monitoring'!I9,"")</f>
        <v/>
      </c>
      <c r="H19" s="150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Monitoring'!K9,"")</f>
        <v/>
      </c>
      <c r="I19" s="146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Monitoring'!N9,"")</f>
        <v/>
      </c>
      <c r="J19" s="146" t="str">
        <f ca="1">IF(AND('Bid Monitoring'!B9&lt;&gt;"",IF(B4="All",TRUE(),'Bid Monitoring'!N9=B4),IF(C4="All",TRUE(),'Bid Monitoring'!L9=C4),IF(D4="All",TRUE(),'Bid Monitoring'!F9=D4),IF(E4="All",TRUE(),'Bid Monitoring'!E9=E4),IF(F4="All",TRUE(),'Bid Monitoring'!R9=F4)),'Bid Monitoring'!L9,"")</f>
        <v/>
      </c>
    </row>
    <row r="20" ht="19.5" customHeight="1" spans="1:10">
      <c r="A20" s="151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Monitoring'!B10,"")</f>
        <v/>
      </c>
      <c r="B20" s="152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Monitoring'!D10,"")</f>
        <v/>
      </c>
      <c r="C20" s="152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Monitoring'!C10,"")</f>
        <v/>
      </c>
      <c r="D20" s="151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Monitoring'!E10,"")</f>
        <v/>
      </c>
      <c r="E20" s="151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Monitoring'!F10,"")</f>
        <v/>
      </c>
      <c r="F20" s="153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Monitoring'!H10,"")</f>
        <v/>
      </c>
      <c r="G20" s="154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Monitoring'!I10,"")</f>
        <v/>
      </c>
      <c r="H20" s="155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Monitoring'!K10,"")</f>
        <v/>
      </c>
      <c r="I20" s="151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Monitoring'!N10,"")</f>
        <v/>
      </c>
      <c r="J20" s="151" t="str">
        <f ca="1">IF(AND('Bid Monitoring'!B10&lt;&gt;"",IF(B4="All",TRUE(),'Bid Monitoring'!N10=B4),IF(C4="All",TRUE(),'Bid Monitoring'!L10=C4),IF(D4="All",TRUE(),'Bid Monitoring'!F10=D4),IF(E4="All",TRUE(),'Bid Monitoring'!E10=E4),IF(F4="All",TRUE(),'Bid Monitoring'!R10=F4)),'Bid Monitoring'!L10,"")</f>
        <v/>
      </c>
    </row>
    <row r="21" ht="19.5" customHeight="1" spans="1:10">
      <c r="A21" s="146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Monitoring'!B11,"")</f>
        <v/>
      </c>
      <c r="B21" s="147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Monitoring'!D11,"")</f>
        <v/>
      </c>
      <c r="C21" s="147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Monitoring'!C11,"")</f>
        <v/>
      </c>
      <c r="D21" s="146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Monitoring'!E11,"")</f>
        <v/>
      </c>
      <c r="E21" s="146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Monitoring'!F11,"")</f>
        <v/>
      </c>
      <c r="F21" s="148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Monitoring'!H11,"")</f>
        <v/>
      </c>
      <c r="G21" s="149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Monitoring'!I11,"")</f>
        <v/>
      </c>
      <c r="H21" s="150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Monitoring'!K11,"")</f>
        <v/>
      </c>
      <c r="I21" s="146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Monitoring'!N11,"")</f>
        <v/>
      </c>
      <c r="J21" s="146" t="str">
        <f ca="1">IF(AND('Bid Monitoring'!B11&lt;&gt;"",IF(B4="All",TRUE(),'Bid Monitoring'!N11=B4),IF(C4="All",TRUE(),'Bid Monitoring'!L11=C4),IF(D4="All",TRUE(),'Bid Monitoring'!F11=D4),IF(E4="All",TRUE(),'Bid Monitoring'!E11=E4),IF(F4="All",TRUE(),'Bid Monitoring'!R11=F4)),'Bid Monitoring'!L11,"")</f>
        <v/>
      </c>
    </row>
    <row r="22" ht="19.5" customHeight="1" spans="1:10">
      <c r="A22" s="151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Monitoring'!B12,"")</f>
        <v/>
      </c>
      <c r="B22" s="152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Monitoring'!D12,"")</f>
        <v/>
      </c>
      <c r="C22" s="152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Monitoring'!C12,"")</f>
        <v/>
      </c>
      <c r="D22" s="151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Monitoring'!E12,"")</f>
        <v/>
      </c>
      <c r="E22" s="151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Monitoring'!F12,"")</f>
        <v/>
      </c>
      <c r="F22" s="153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Monitoring'!H12,"")</f>
        <v/>
      </c>
      <c r="G22" s="154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Monitoring'!I12,"")</f>
        <v/>
      </c>
      <c r="H22" s="155" t="str">
        <f ca="1">IF(AND('Bid Monitoring'!B12&lt;&gt;"",IF(B4="All",TRUE(),'Bid Monitoring'!N12=B4),IF(C4="All",TRUE(),'Bid Monitoring'!L12=C4),IF(D4="All",TRUE(),'Bid Monitoring'!F12=D4),IF(E4="All",TRUE(),'Bid Monitoring'!E12=E4),IF(F4="All",TRUE(),'Bid Monitoring'!R12=F4)),'Bid Monitoring'!K12,"")</f>
        <v/>
      </c>
      <c r="I22" s="151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Monitoring'!N12,"")</f>
        <v/>
      </c>
      <c r="J22" s="151" t="str">
        <f>IF(AND('Bid Monitoring'!B12&lt;&gt;"",IF(B4="All",TRUE(),'Bid Monitoring'!N12=B4),IF(C4="All",TRUE(),'Bid Monitoring'!L12=C4),IF(D4="All",TRUE(),'Bid Monitoring'!F12=D4),IF(E4="All",TRUE(),'Bid Monitoring'!E12=E4),IF(F4="All",TRUE(),'Bid Monitoring'!R12=F4)),'Bid Monitoring'!L12,"")</f>
        <v/>
      </c>
    </row>
    <row r="23" ht="19.5" customHeight="1" spans="1:10">
      <c r="A23" s="146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Monitoring'!B13,"")</f>
        <v/>
      </c>
      <c r="B23" s="147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Monitoring'!D13,"")</f>
        <v/>
      </c>
      <c r="C23" s="147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Monitoring'!C13,"")</f>
        <v/>
      </c>
      <c r="D23" s="146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Monitoring'!E13,"")</f>
        <v/>
      </c>
      <c r="E23" s="146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Monitoring'!F13,"")</f>
        <v/>
      </c>
      <c r="F23" s="148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Monitoring'!H13,"")</f>
        <v/>
      </c>
      <c r="G23" s="149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Monitoring'!I13,"")</f>
        <v/>
      </c>
      <c r="H23" s="150" t="str">
        <f ca="1">IF(AND('Bid Monitoring'!B13&lt;&gt;"",IF(B4="All",TRUE(),'Bid Monitoring'!N13=B4),IF(C4="All",TRUE(),'Bid Monitoring'!L13=C4),IF(D4="All",TRUE(),'Bid Monitoring'!F13=D4),IF(E4="All",TRUE(),'Bid Monitoring'!E13=E4),IF(F4="All",TRUE(),'Bid Monitoring'!R13=F4)),'Bid Monitoring'!K13,"")</f>
        <v/>
      </c>
      <c r="I23" s="146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Monitoring'!N13,"")</f>
        <v/>
      </c>
      <c r="J23" s="146" t="str">
        <f>IF(AND('Bid Monitoring'!B13&lt;&gt;"",IF(B4="All",TRUE(),'Bid Monitoring'!N13=B4),IF(C4="All",TRUE(),'Bid Monitoring'!L13=C4),IF(D4="All",TRUE(),'Bid Monitoring'!F13=D4),IF(E4="All",TRUE(),'Bid Monitoring'!E13=E4),IF(F4="All",TRUE(),'Bid Monitoring'!R13=F4)),'Bid Monitoring'!L13,"")</f>
        <v/>
      </c>
    </row>
    <row r="24" ht="19.5" customHeight="1" spans="1:10">
      <c r="A24" s="151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Monitoring'!B14,"")</f>
        <v/>
      </c>
      <c r="B24" s="152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Monitoring'!D14,"")</f>
        <v/>
      </c>
      <c r="C24" s="152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Monitoring'!C14,"")</f>
        <v/>
      </c>
      <c r="D24" s="151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Monitoring'!E14,"")</f>
        <v/>
      </c>
      <c r="E24" s="151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Monitoring'!F14,"")</f>
        <v/>
      </c>
      <c r="F24" s="153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Monitoring'!H14,"")</f>
        <v/>
      </c>
      <c r="G24" s="154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Monitoring'!I14,"")</f>
        <v/>
      </c>
      <c r="H24" s="155" t="str">
        <f ca="1">IF(AND('Bid Monitoring'!B14&lt;&gt;"",IF(B4="All",TRUE(),'Bid Monitoring'!N14=B4),IF(C4="All",TRUE(),'Bid Monitoring'!L14=C4),IF(D4="All",TRUE(),'Bid Monitoring'!F14=D4),IF(E4="All",TRUE(),'Bid Monitoring'!E14=E4),IF(F4="All",TRUE(),'Bid Monitoring'!R14=F4)),'Bid Monitoring'!K14,"")</f>
        <v/>
      </c>
      <c r="I24" s="151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Monitoring'!N14,"")</f>
        <v/>
      </c>
      <c r="J24" s="151" t="str">
        <f>IF(AND('Bid Monitoring'!B14&lt;&gt;"",IF(B4="All",TRUE(),'Bid Monitoring'!N14=B4),IF(C4="All",TRUE(),'Bid Monitoring'!L14=C4),IF(D4="All",TRUE(),'Bid Monitoring'!F14=D4),IF(E4="All",TRUE(),'Bid Monitoring'!E14=E4),IF(F4="All",TRUE(),'Bid Monitoring'!R14=F4)),'Bid Monitoring'!L14,"")</f>
        <v/>
      </c>
    </row>
    <row r="25" ht="19.5" customHeight="1" spans="1:10">
      <c r="A25" s="146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Monitoring'!B15,"")</f>
        <v/>
      </c>
      <c r="B25" s="147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Monitoring'!D15,"")</f>
        <v/>
      </c>
      <c r="C25" s="147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Monitoring'!C15,"")</f>
        <v/>
      </c>
      <c r="D25" s="146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Monitoring'!E15,"")</f>
        <v/>
      </c>
      <c r="E25" s="146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Monitoring'!F15,"")</f>
        <v/>
      </c>
      <c r="F25" s="148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Monitoring'!H15,"")</f>
        <v/>
      </c>
      <c r="G25" s="149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Monitoring'!I15,"")</f>
        <v/>
      </c>
      <c r="H25" s="150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Monitoring'!K15,"")</f>
        <v/>
      </c>
      <c r="I25" s="146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Monitoring'!N15,"")</f>
        <v/>
      </c>
      <c r="J25" s="146" t="str">
        <f ca="1">IF(AND('Bid Monitoring'!B15&lt;&gt;"",IF(B4="All",TRUE(),'Bid Monitoring'!N15=B4),IF(C4="All",TRUE(),'Bid Monitoring'!L15=C4),IF(D4="All",TRUE(),'Bid Monitoring'!F15=D4),IF(E4="All",TRUE(),'Bid Monitoring'!E15=E4),IF(F4="All",TRUE(),'Bid Monitoring'!R15=F4)),'Bid Monitoring'!L15,"")</f>
        <v/>
      </c>
    </row>
    <row r="26" ht="19.5" customHeight="1" spans="1:10">
      <c r="A26" s="151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Monitoring'!B16,"")</f>
        <v/>
      </c>
      <c r="B26" s="152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Monitoring'!D16,"")</f>
        <v/>
      </c>
      <c r="C26" s="152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Monitoring'!C16,"")</f>
        <v/>
      </c>
      <c r="D26" s="151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Monitoring'!E16,"")</f>
        <v/>
      </c>
      <c r="E26" s="151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Monitoring'!F16,"")</f>
        <v/>
      </c>
      <c r="F26" s="153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Monitoring'!H16,"")</f>
        <v/>
      </c>
      <c r="G26" s="154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Monitoring'!I16,"")</f>
        <v/>
      </c>
      <c r="H26" s="155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Monitoring'!K16,"")</f>
        <v/>
      </c>
      <c r="I26" s="151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Monitoring'!N16,"")</f>
        <v/>
      </c>
      <c r="J26" s="151" t="str">
        <f ca="1">IF(AND('Bid Monitoring'!B16&lt;&gt;"",IF(B4="All",TRUE(),'Bid Monitoring'!N16=B4),IF(C4="All",TRUE(),'Bid Monitoring'!L16=C4),IF(D4="All",TRUE(),'Bid Monitoring'!F16=D4),IF(E4="All",TRUE(),'Bid Monitoring'!E16=E4),IF(F4="All",TRUE(),'Bid Monitoring'!R16=F4)),'Bid Monitoring'!L16,"")</f>
        <v/>
      </c>
    </row>
    <row r="27" ht="19.5" customHeight="1" spans="1:10">
      <c r="A27" s="146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Monitoring'!B17,"")</f>
        <v/>
      </c>
      <c r="B27" s="147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Monitoring'!D17,"")</f>
        <v/>
      </c>
      <c r="C27" s="147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Monitoring'!C17,"")</f>
        <v/>
      </c>
      <c r="D27" s="146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Monitoring'!E17,"")</f>
        <v/>
      </c>
      <c r="E27" s="146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Monitoring'!F17,"")</f>
        <v/>
      </c>
      <c r="F27" s="148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Monitoring'!H17,"")</f>
        <v/>
      </c>
      <c r="G27" s="149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Monitoring'!I17,"")</f>
        <v/>
      </c>
      <c r="H27" s="150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Monitoring'!K17,"")</f>
        <v/>
      </c>
      <c r="I27" s="146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Monitoring'!N17,"")</f>
        <v/>
      </c>
      <c r="J27" s="146" t="str">
        <f ca="1">IF(AND('Bid Monitoring'!B17&lt;&gt;"",IF(B4="All",TRUE(),'Bid Monitoring'!N17=B4),IF(C4="All",TRUE(),'Bid Monitoring'!L17=C4),IF(D4="All",TRUE(),'Bid Monitoring'!F17=D4),IF(E4="All",TRUE(),'Bid Monitoring'!E17=E4),IF(F4="All",TRUE(),'Bid Monitoring'!R17=F4)),'Bid Monitoring'!L17,"")</f>
        <v/>
      </c>
    </row>
    <row r="28" ht="19.5" customHeight="1" spans="1:10">
      <c r="A28" s="151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Monitoring'!B18,"")</f>
        <v/>
      </c>
      <c r="B28" s="152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Monitoring'!D18,"")</f>
        <v/>
      </c>
      <c r="C28" s="152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Monitoring'!C18,"")</f>
        <v/>
      </c>
      <c r="D28" s="151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Monitoring'!E18,"")</f>
        <v/>
      </c>
      <c r="E28" s="151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Monitoring'!F18,"")</f>
        <v/>
      </c>
      <c r="F28" s="153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Monitoring'!H18,"")</f>
        <v/>
      </c>
      <c r="G28" s="154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Monitoring'!I18,"")</f>
        <v/>
      </c>
      <c r="H28" s="155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Monitoring'!K18,"")</f>
        <v/>
      </c>
      <c r="I28" s="151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Monitoring'!N18,"")</f>
        <v/>
      </c>
      <c r="J28" s="151" t="str">
        <f ca="1">IF(AND('Bid Monitoring'!B18&lt;&gt;"",IF(B4="All",TRUE(),'Bid Monitoring'!N18=B4),IF(C4="All",TRUE(),'Bid Monitoring'!L18=C4),IF(D4="All",TRUE(),'Bid Monitoring'!F18=D4),IF(E4="All",TRUE(),'Bid Monitoring'!E18=E4),IF(F4="All",TRUE(),'Bid Monitoring'!R18=F4)),'Bid Monitoring'!L18,"")</f>
        <v/>
      </c>
    </row>
    <row r="29" ht="19.5" customHeight="1" spans="1:10">
      <c r="A29" s="146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Monitoring'!B19,"")</f>
        <v/>
      </c>
      <c r="B29" s="147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Monitoring'!D19,"")</f>
        <v/>
      </c>
      <c r="C29" s="147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Monitoring'!C19,"")</f>
        <v/>
      </c>
      <c r="D29" s="146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Monitoring'!E19,"")</f>
        <v/>
      </c>
      <c r="E29" s="146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Monitoring'!F19,"")</f>
        <v/>
      </c>
      <c r="F29" s="148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Monitoring'!H19,"")</f>
        <v/>
      </c>
      <c r="G29" s="149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Monitoring'!I19,"")</f>
        <v/>
      </c>
      <c r="H29" s="150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Monitoring'!K19,"")</f>
        <v/>
      </c>
      <c r="I29" s="146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Monitoring'!N19,"")</f>
        <v/>
      </c>
      <c r="J29" s="146" t="str">
        <f ca="1">IF(AND('Bid Monitoring'!B19&lt;&gt;"",IF(B4="All",TRUE(),'Bid Monitoring'!N19=B4),IF(C4="All",TRUE(),'Bid Monitoring'!L19=C4),IF(D4="All",TRUE(),'Bid Monitoring'!F19=D4),IF(E4="All",TRUE(),'Bid Monitoring'!E19=E4),IF(F4="All",TRUE(),'Bid Monitoring'!R19=F4)),'Bid Monitoring'!L19,"")</f>
        <v/>
      </c>
    </row>
    <row r="30" ht="19.5" customHeight="1" spans="1:10">
      <c r="A30" s="151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Monitoring'!B20,"")</f>
        <v/>
      </c>
      <c r="B30" s="152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Monitoring'!D20,"")</f>
        <v/>
      </c>
      <c r="C30" s="152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Monitoring'!C20,"")</f>
        <v/>
      </c>
      <c r="D30" s="151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Monitoring'!E20,"")</f>
        <v/>
      </c>
      <c r="E30" s="151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Monitoring'!F20,"")</f>
        <v/>
      </c>
      <c r="F30" s="153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Monitoring'!H20,"")</f>
        <v/>
      </c>
      <c r="G30" s="154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Monitoring'!I20,"")</f>
        <v/>
      </c>
      <c r="H30" s="155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Monitoring'!K20,"")</f>
        <v/>
      </c>
      <c r="I30" s="151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Monitoring'!N20,"")</f>
        <v/>
      </c>
      <c r="J30" s="151" t="str">
        <f ca="1">IF(AND('Bid Monitoring'!B20&lt;&gt;"",IF(B4="All",TRUE(),'Bid Monitoring'!N20=B4),IF(C4="All",TRUE(),'Bid Monitoring'!L20=C4),IF(D4="All",TRUE(),'Bid Monitoring'!F20=D4),IF(E4="All",TRUE(),'Bid Monitoring'!E20=E4),IF(F4="All",TRUE(),'Bid Monitoring'!R20=F4)),'Bid Monitoring'!L20,"")</f>
        <v/>
      </c>
    </row>
    <row r="31" ht="19.5" customHeight="1" spans="1:10">
      <c r="A31" s="146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Monitoring'!B21,"")</f>
        <v/>
      </c>
      <c r="B31" s="147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Monitoring'!D21,"")</f>
        <v/>
      </c>
      <c r="C31" s="147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Monitoring'!C21,"")</f>
        <v/>
      </c>
      <c r="D31" s="146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Monitoring'!E21,"")</f>
        <v/>
      </c>
      <c r="E31" s="146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Monitoring'!F21,"")</f>
        <v/>
      </c>
      <c r="F31" s="148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Monitoring'!H21,"")</f>
        <v/>
      </c>
      <c r="G31" s="149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Monitoring'!I21,"")</f>
        <v/>
      </c>
      <c r="H31" s="150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Monitoring'!K21,"")</f>
        <v/>
      </c>
      <c r="I31" s="146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Monitoring'!N21,"")</f>
        <v/>
      </c>
      <c r="J31" s="146" t="str">
        <f ca="1">IF(AND('Bid Monitoring'!B21&lt;&gt;"",IF(B4="All",TRUE(),'Bid Monitoring'!N21=B4),IF(C4="All",TRUE(),'Bid Monitoring'!L21=C4),IF(D4="All",TRUE(),'Bid Monitoring'!F21=D4),IF(E4="All",TRUE(),'Bid Monitoring'!E21=E4),IF(F4="All",TRUE(),'Bid Monitoring'!R21=F4)),'Bid Monitoring'!L21,"")</f>
        <v/>
      </c>
    </row>
    <row r="32" ht="19.5" customHeight="1" spans="1:10">
      <c r="A32" s="151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Monitoring'!B22,"")</f>
        <v/>
      </c>
      <c r="B32" s="152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Monitoring'!D22,"")</f>
        <v/>
      </c>
      <c r="C32" s="152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Monitoring'!C22,"")</f>
        <v/>
      </c>
      <c r="D32" s="151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Monitoring'!E22,"")</f>
        <v/>
      </c>
      <c r="E32" s="151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Monitoring'!F22,"")</f>
        <v/>
      </c>
      <c r="F32" s="153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Monitoring'!H22,"")</f>
        <v/>
      </c>
      <c r="G32" s="154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Monitoring'!I22,"")</f>
        <v/>
      </c>
      <c r="H32" s="155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Monitoring'!K22,"")</f>
        <v/>
      </c>
      <c r="I32" s="151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Monitoring'!N22,"")</f>
        <v/>
      </c>
      <c r="J32" s="151" t="str">
        <f ca="1">IF(AND('Bid Monitoring'!B22&lt;&gt;"",IF(B4="All",TRUE(),'Bid Monitoring'!N22=B4),IF(C4="All",TRUE(),'Bid Monitoring'!L22=C4),IF(D4="All",TRUE(),'Bid Monitoring'!F22=D4),IF(E4="All",TRUE(),'Bid Monitoring'!E22=E4),IF(F4="All",TRUE(),'Bid Monitoring'!R22=F4)),'Bid Monitoring'!L22,"")</f>
        <v/>
      </c>
    </row>
    <row r="33" ht="19.5" customHeight="1" spans="1:10">
      <c r="A33" s="146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Monitoring'!B23,"")</f>
        <v/>
      </c>
      <c r="B33" s="147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Monitoring'!D23,"")</f>
        <v/>
      </c>
      <c r="C33" s="147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Monitoring'!C23,"")</f>
        <v/>
      </c>
      <c r="D33" s="146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Monitoring'!E23,"")</f>
        <v/>
      </c>
      <c r="E33" s="146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Monitoring'!F23,"")</f>
        <v/>
      </c>
      <c r="F33" s="148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Monitoring'!H23,"")</f>
        <v/>
      </c>
      <c r="G33" s="149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Monitoring'!I23,"")</f>
        <v/>
      </c>
      <c r="H33" s="150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Monitoring'!K23,"")</f>
        <v/>
      </c>
      <c r="I33" s="146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Monitoring'!N23,"")</f>
        <v/>
      </c>
      <c r="J33" s="146" t="str">
        <f ca="1">IF(AND('Bid Monitoring'!B23&lt;&gt;"",IF(B4="All",TRUE(),'Bid Monitoring'!N23=B4),IF(C4="All",TRUE(),'Bid Monitoring'!L23=C4),IF(D4="All",TRUE(),'Bid Monitoring'!F23=D4),IF(E4="All",TRUE(),'Bid Monitoring'!E23=E4),IF(F4="All",TRUE(),'Bid Monitoring'!R23=F4)),'Bid Monitoring'!L23,"")</f>
        <v/>
      </c>
    </row>
    <row r="34" ht="19.5" customHeight="1" spans="1:10">
      <c r="A34" s="151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Monitoring'!B24,"")</f>
        <v/>
      </c>
      <c r="B34" s="152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Monitoring'!D24,"")</f>
        <v/>
      </c>
      <c r="C34" s="152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Monitoring'!C24,"")</f>
        <v/>
      </c>
      <c r="D34" s="151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Monitoring'!E24,"")</f>
        <v/>
      </c>
      <c r="E34" s="151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Monitoring'!F24,"")</f>
        <v/>
      </c>
      <c r="F34" s="153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Monitoring'!H24,"")</f>
        <v/>
      </c>
      <c r="G34" s="154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Monitoring'!I24,"")</f>
        <v/>
      </c>
      <c r="H34" s="155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Monitoring'!K24,"")</f>
        <v/>
      </c>
      <c r="I34" s="151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Monitoring'!N24,"")</f>
        <v/>
      </c>
      <c r="J34" s="151" t="str">
        <f ca="1">IF(AND('Bid Monitoring'!B24&lt;&gt;"",IF(B4="All",TRUE(),'Bid Monitoring'!N24=B4),IF(C4="All",TRUE(),'Bid Monitoring'!L24=C4),IF(D4="All",TRUE(),'Bid Monitoring'!F24=D4),IF(E4="All",TRUE(),'Bid Monitoring'!E24=E4),IF(F4="All",TRUE(),'Bid Monitoring'!R24=F4)),'Bid Monitoring'!L24,"")</f>
        <v/>
      </c>
    </row>
    <row r="35" ht="19.5" customHeight="1" spans="1:10">
      <c r="A35" s="146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Monitoring'!B25,"")</f>
        <v/>
      </c>
      <c r="B35" s="147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Monitoring'!D25,"")</f>
        <v/>
      </c>
      <c r="C35" s="147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Monitoring'!C25,"")</f>
        <v/>
      </c>
      <c r="D35" s="146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Monitoring'!E25,"")</f>
        <v/>
      </c>
      <c r="E35" s="146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Monitoring'!F25,"")</f>
        <v/>
      </c>
      <c r="F35" s="148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Monitoring'!H25,"")</f>
        <v/>
      </c>
      <c r="G35" s="149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Monitoring'!I25,"")</f>
        <v/>
      </c>
      <c r="H35" s="150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Monitoring'!K25,"")</f>
        <v/>
      </c>
      <c r="I35" s="146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Monitoring'!N25,"")</f>
        <v/>
      </c>
      <c r="J35" s="146" t="str">
        <f ca="1">IF(AND('Bid Monitoring'!B25&lt;&gt;"",IF(B4="All",TRUE(),'Bid Monitoring'!N25=B4),IF(C4="All",TRUE(),'Bid Monitoring'!L25=C4),IF(D4="All",TRUE(),'Bid Monitoring'!F25=D4),IF(E4="All",TRUE(),'Bid Monitoring'!E25=E4),IF(F4="All",TRUE(),'Bid Monitoring'!R25=F4)),'Bid Monitoring'!L25,"")</f>
        <v/>
      </c>
    </row>
    <row r="36" ht="19.5" customHeight="1" spans="1:10">
      <c r="A36" s="151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Monitoring'!B26,"")</f>
        <v/>
      </c>
      <c r="B36" s="152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Monitoring'!D26,"")</f>
        <v/>
      </c>
      <c r="C36" s="152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Monitoring'!C26,"")</f>
        <v/>
      </c>
      <c r="D36" s="151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Monitoring'!E26,"")</f>
        <v/>
      </c>
      <c r="E36" s="151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Monitoring'!F26,"")</f>
        <v/>
      </c>
      <c r="F36" s="153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Monitoring'!H26,"")</f>
        <v/>
      </c>
      <c r="G36" s="154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Monitoring'!I26,"")</f>
        <v/>
      </c>
      <c r="H36" s="155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Monitoring'!K26,"")</f>
        <v/>
      </c>
      <c r="I36" s="151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Monitoring'!N26,"")</f>
        <v/>
      </c>
      <c r="J36" s="151" t="str">
        <f ca="1">IF(AND('Bid Monitoring'!B26&lt;&gt;"",IF(B4="All",TRUE(),'Bid Monitoring'!N26=B4),IF(C4="All",TRUE(),'Bid Monitoring'!L26=C4),IF(D4="All",TRUE(),'Bid Monitoring'!F26=D4),IF(E4="All",TRUE(),'Bid Monitoring'!E26=E4),IF(F4="All",TRUE(),'Bid Monitoring'!R26=F4)),'Bid Monitoring'!L26,"")</f>
        <v/>
      </c>
    </row>
    <row r="37" ht="19.5" customHeight="1" spans="1:10">
      <c r="A37" s="146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Monitoring'!B27,"")</f>
        <v/>
      </c>
      <c r="B37" s="147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Monitoring'!D27,"")</f>
        <v/>
      </c>
      <c r="C37" s="147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Monitoring'!C27,"")</f>
        <v/>
      </c>
      <c r="D37" s="146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Monitoring'!E27,"")</f>
        <v/>
      </c>
      <c r="E37" s="146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Monitoring'!F27,"")</f>
        <v/>
      </c>
      <c r="F37" s="148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Monitoring'!H27,"")</f>
        <v/>
      </c>
      <c r="G37" s="149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Monitoring'!I27,"")</f>
        <v/>
      </c>
      <c r="H37" s="150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Monitoring'!K27,"")</f>
        <v/>
      </c>
      <c r="I37" s="146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Monitoring'!N27,"")</f>
        <v/>
      </c>
      <c r="J37" s="146" t="str">
        <f ca="1">IF(AND('Bid Monitoring'!B27&lt;&gt;"",IF(B4="All",TRUE(),'Bid Monitoring'!N27=B4),IF(C4="All",TRUE(),'Bid Monitoring'!L27=C4),IF(D4="All",TRUE(),'Bid Monitoring'!F27=D4),IF(E4="All",TRUE(),'Bid Monitoring'!E27=E4),IF(F4="All",TRUE(),'Bid Monitoring'!R27=F4)),'Bid Monitoring'!L27,"")</f>
        <v/>
      </c>
    </row>
    <row r="38" ht="19.5" customHeight="1" spans="1:10">
      <c r="A38" s="151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Monitoring'!B28,"")</f>
        <v/>
      </c>
      <c r="B38" s="152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Monitoring'!D28,"")</f>
        <v/>
      </c>
      <c r="C38" s="152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Monitoring'!C28,"")</f>
        <v/>
      </c>
      <c r="D38" s="151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Monitoring'!E28,"")</f>
        <v/>
      </c>
      <c r="E38" s="151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Monitoring'!F28,"")</f>
        <v/>
      </c>
      <c r="F38" s="153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Monitoring'!H28,"")</f>
        <v/>
      </c>
      <c r="G38" s="154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Monitoring'!I28,"")</f>
        <v/>
      </c>
      <c r="H38" s="155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Monitoring'!K28,"")</f>
        <v/>
      </c>
      <c r="I38" s="151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Monitoring'!N28,"")</f>
        <v/>
      </c>
      <c r="J38" s="151" t="str">
        <f ca="1">IF(AND('Bid Monitoring'!B28&lt;&gt;"",IF(B4="All",TRUE(),'Bid Monitoring'!N28=B4),IF(C4="All",TRUE(),'Bid Monitoring'!L28=C4),IF(D4="All",TRUE(),'Bid Monitoring'!F28=D4),IF(E4="All",TRUE(),'Bid Monitoring'!E28=E4),IF(F4="All",TRUE(),'Bid Monitoring'!R28=F4)),'Bid Monitoring'!L28,"")</f>
        <v/>
      </c>
    </row>
    <row r="39" ht="19.5" customHeight="1" spans="1:10">
      <c r="A39" s="146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Monitoring'!B29,"")</f>
        <v/>
      </c>
      <c r="B39" s="147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Monitoring'!D29,"")</f>
        <v/>
      </c>
      <c r="C39" s="147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Monitoring'!C29,"")</f>
        <v/>
      </c>
      <c r="D39" s="146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Monitoring'!E29,"")</f>
        <v/>
      </c>
      <c r="E39" s="146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Monitoring'!F29,"")</f>
        <v/>
      </c>
      <c r="F39" s="148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Monitoring'!H29,"")</f>
        <v/>
      </c>
      <c r="G39" s="149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Monitoring'!I29,"")</f>
        <v/>
      </c>
      <c r="H39" s="150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Monitoring'!K29,"")</f>
        <v/>
      </c>
      <c r="I39" s="146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Monitoring'!N29,"")</f>
        <v/>
      </c>
      <c r="J39" s="146" t="str">
        <f ca="1">IF(AND('Bid Monitoring'!B29&lt;&gt;"",IF(B4="All",TRUE(),'Bid Monitoring'!N29=B4),IF(C4="All",TRUE(),'Bid Monitoring'!L29=C4),IF(D4="All",TRUE(),'Bid Monitoring'!F29=D4),IF(E4="All",TRUE(),'Bid Monitoring'!E29=E4),IF(F4="All",TRUE(),'Bid Monitoring'!R29=F4)),'Bid Monitoring'!L29,"")</f>
        <v/>
      </c>
    </row>
    <row r="40" ht="19.5" customHeight="1" spans="1:10">
      <c r="A40" s="151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Monitoring'!B30,"")</f>
        <v/>
      </c>
      <c r="B40" s="152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Monitoring'!D30,"")</f>
        <v/>
      </c>
      <c r="C40" s="152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Monitoring'!C30,"")</f>
        <v/>
      </c>
      <c r="D40" s="151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Monitoring'!E30,"")</f>
        <v/>
      </c>
      <c r="E40" s="151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Monitoring'!F30,"")</f>
        <v/>
      </c>
      <c r="F40" s="153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Monitoring'!H30,"")</f>
        <v/>
      </c>
      <c r="G40" s="154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Monitoring'!I30,"")</f>
        <v/>
      </c>
      <c r="H40" s="155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Monitoring'!K30,"")</f>
        <v/>
      </c>
      <c r="I40" s="151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Monitoring'!N30,"")</f>
        <v/>
      </c>
      <c r="J40" s="151" t="str">
        <f ca="1">IF(AND('Bid Monitoring'!B30&lt;&gt;"",IF(B4="All",TRUE(),'Bid Monitoring'!N30=B4),IF(C4="All",TRUE(),'Bid Monitoring'!L30=C4),IF(D4="All",TRUE(),'Bid Monitoring'!F30=D4),IF(E4="All",TRUE(),'Bid Monitoring'!E30=E4),IF(F4="All",TRUE(),'Bid Monitoring'!R30=F4)),'Bid Monitoring'!L30,"")</f>
        <v/>
      </c>
    </row>
    <row r="41" ht="19.5" customHeight="1" spans="1:10">
      <c r="A41" s="146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Monitoring'!B31,"")</f>
        <v/>
      </c>
      <c r="B41" s="147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Monitoring'!D31,"")</f>
        <v/>
      </c>
      <c r="C41" s="147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Monitoring'!C31,"")</f>
        <v/>
      </c>
      <c r="D41" s="146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Monitoring'!E31,"")</f>
        <v/>
      </c>
      <c r="E41" s="146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Monitoring'!F31,"")</f>
        <v/>
      </c>
      <c r="F41" s="148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Monitoring'!H31,"")</f>
        <v/>
      </c>
      <c r="G41" s="149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Monitoring'!I31,"")</f>
        <v/>
      </c>
      <c r="H41" s="150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Monitoring'!K31,"")</f>
        <v/>
      </c>
      <c r="I41" s="146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Monitoring'!N31,"")</f>
        <v/>
      </c>
      <c r="J41" s="146" t="str">
        <f ca="1">IF(AND('Bid Monitoring'!B31&lt;&gt;"",IF(B4="All",TRUE(),'Bid Monitoring'!N31=B4),IF(C4="All",TRUE(),'Bid Monitoring'!L31=C4),IF(D4="All",TRUE(),'Bid Monitoring'!F31=D4),IF(E4="All",TRUE(),'Bid Monitoring'!E31=E4),IF(F4="All",TRUE(),'Bid Monitoring'!R31=F4)),'Bid Monitoring'!L31,"")</f>
        <v/>
      </c>
    </row>
    <row r="42" ht="19.5" customHeight="1" spans="1:10">
      <c r="A42" s="151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Monitoring'!B32,"")</f>
        <v/>
      </c>
      <c r="B42" s="152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Monitoring'!D32,"")</f>
        <v/>
      </c>
      <c r="C42" s="152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Monitoring'!C32,"")</f>
        <v/>
      </c>
      <c r="D42" s="151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Monitoring'!E32,"")</f>
        <v/>
      </c>
      <c r="E42" s="151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Monitoring'!F32,"")</f>
        <v/>
      </c>
      <c r="F42" s="153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Monitoring'!H32,"")</f>
        <v/>
      </c>
      <c r="G42" s="154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Monitoring'!I32,"")</f>
        <v/>
      </c>
      <c r="H42" s="155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Monitoring'!K32,"")</f>
        <v/>
      </c>
      <c r="I42" s="151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Monitoring'!N32,"")</f>
        <v/>
      </c>
      <c r="J42" s="151" t="str">
        <f ca="1">IF(AND('Bid Monitoring'!B32&lt;&gt;"",IF(B4="All",TRUE(),'Bid Monitoring'!N32=B4),IF(C4="All",TRUE(),'Bid Monitoring'!L32=C4),IF(D4="All",TRUE(),'Bid Monitoring'!F32=D4),IF(E4="All",TRUE(),'Bid Monitoring'!E32=E4),IF(F4="All",TRUE(),'Bid Monitoring'!R32=F4)),'Bid Monitoring'!L32,"")</f>
        <v/>
      </c>
    </row>
    <row r="43" ht="19.5" customHeight="1" spans="1:10">
      <c r="A43" s="146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Monitoring'!B33,"")</f>
        <v/>
      </c>
      <c r="B43" s="147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Monitoring'!D33,"")</f>
        <v/>
      </c>
      <c r="C43" s="147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Monitoring'!C33,"")</f>
        <v/>
      </c>
      <c r="D43" s="146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Monitoring'!E33,"")</f>
        <v/>
      </c>
      <c r="E43" s="146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Monitoring'!F33,"")</f>
        <v/>
      </c>
      <c r="F43" s="148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Monitoring'!H33,"")</f>
        <v/>
      </c>
      <c r="G43" s="149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Monitoring'!I33,"")</f>
        <v/>
      </c>
      <c r="H43" s="150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Monitoring'!K33,"")</f>
        <v/>
      </c>
      <c r="I43" s="146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Monitoring'!N33,"")</f>
        <v/>
      </c>
      <c r="J43" s="146" t="str">
        <f ca="1">IF(AND('Bid Monitoring'!B33&lt;&gt;"",IF(B4="All",TRUE(),'Bid Monitoring'!N33=B4),IF(C4="All",TRUE(),'Bid Monitoring'!L33=C4),IF(D4="All",TRUE(),'Bid Monitoring'!F33=D4),IF(E4="All",TRUE(),'Bid Monitoring'!E33=E4),IF(F4="All",TRUE(),'Bid Monitoring'!R33=F4)),'Bid Monitoring'!L33,"")</f>
        <v/>
      </c>
    </row>
    <row r="44" ht="19.5" customHeight="1" spans="1:10">
      <c r="A44" s="151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Monitoring'!B34,"")</f>
        <v/>
      </c>
      <c r="B44" s="152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Monitoring'!D34,"")</f>
        <v/>
      </c>
      <c r="C44" s="152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Monitoring'!C34,"")</f>
        <v/>
      </c>
      <c r="D44" s="151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Monitoring'!E34,"")</f>
        <v/>
      </c>
      <c r="E44" s="151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Monitoring'!F34,"")</f>
        <v/>
      </c>
      <c r="F44" s="153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Monitoring'!H34,"")</f>
        <v/>
      </c>
      <c r="G44" s="154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Monitoring'!I34,"")</f>
        <v/>
      </c>
      <c r="H44" s="155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Monitoring'!K34,"")</f>
        <v/>
      </c>
      <c r="I44" s="151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Monitoring'!N34,"")</f>
        <v/>
      </c>
      <c r="J44" s="151" t="str">
        <f ca="1">IF(AND('Bid Monitoring'!B34&lt;&gt;"",IF(B4="All",TRUE(),'Bid Monitoring'!N34=B4),IF(C4="All",TRUE(),'Bid Monitoring'!L34=C4),IF(D4="All",TRUE(),'Bid Monitoring'!F34=D4),IF(E4="All",TRUE(),'Bid Monitoring'!E34=E4),IF(F4="All",TRUE(),'Bid Monitoring'!R34=F4)),'Bid Monitoring'!L34,"")</f>
        <v/>
      </c>
    </row>
    <row r="45" ht="19.5" customHeight="1" spans="1:10">
      <c r="A45" s="146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Monitoring'!B35,"")</f>
        <v/>
      </c>
      <c r="B45" s="147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Monitoring'!D35,"")</f>
        <v/>
      </c>
      <c r="C45" s="147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Monitoring'!C35,"")</f>
        <v/>
      </c>
      <c r="D45" s="146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Monitoring'!E35,"")</f>
        <v/>
      </c>
      <c r="E45" s="146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Monitoring'!F35,"")</f>
        <v/>
      </c>
      <c r="F45" s="148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Monitoring'!H35,"")</f>
        <v/>
      </c>
      <c r="G45" s="149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Monitoring'!I35,"")</f>
        <v/>
      </c>
      <c r="H45" s="150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Monitoring'!K35,"")</f>
        <v/>
      </c>
      <c r="I45" s="146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Monitoring'!N35,"")</f>
        <v/>
      </c>
      <c r="J45" s="146" t="str">
        <f ca="1">IF(AND('Bid Monitoring'!B35&lt;&gt;"",IF(B4="All",TRUE(),'Bid Monitoring'!N35=B4),IF(C4="All",TRUE(),'Bid Monitoring'!L35=C4),IF(D4="All",TRUE(),'Bid Monitoring'!F35=D4),IF(E4="All",TRUE(),'Bid Monitoring'!E35=E4),IF(F4="All",TRUE(),'Bid Monitoring'!R35=F4)),'Bid Monitoring'!L35,"")</f>
        <v/>
      </c>
    </row>
    <row r="46" ht="19.5" customHeight="1" spans="1:10">
      <c r="A46" s="151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Monitoring'!B36,"")</f>
        <v/>
      </c>
      <c r="B46" s="152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Monitoring'!D36,"")</f>
        <v/>
      </c>
      <c r="C46" s="152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Monitoring'!C36,"")</f>
        <v/>
      </c>
      <c r="D46" s="151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Monitoring'!E36,"")</f>
        <v/>
      </c>
      <c r="E46" s="151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Monitoring'!F36,"")</f>
        <v/>
      </c>
      <c r="F46" s="153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Monitoring'!H36,"")</f>
        <v/>
      </c>
      <c r="G46" s="154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Monitoring'!I36,"")</f>
        <v/>
      </c>
      <c r="H46" s="155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Monitoring'!K36,"")</f>
        <v/>
      </c>
      <c r="I46" s="151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Monitoring'!N36,"")</f>
        <v/>
      </c>
      <c r="J46" s="151" t="str">
        <f ca="1">IF(AND('Bid Monitoring'!B36&lt;&gt;"",IF(B4="All",TRUE(),'Bid Monitoring'!N36=B4),IF(C4="All",TRUE(),'Bid Monitoring'!L36=C4),IF(D4="All",TRUE(),'Bid Monitoring'!F36=D4),IF(E4="All",TRUE(),'Bid Monitoring'!E36=E4),IF(F4="All",TRUE(),'Bid Monitoring'!R36=F4)),'Bid Monitoring'!L36,"")</f>
        <v/>
      </c>
    </row>
    <row r="47" ht="19.5" customHeight="1" spans="1:10">
      <c r="A47" s="146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Monitoring'!B37,"")</f>
        <v/>
      </c>
      <c r="B47" s="147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Monitoring'!D37,"")</f>
        <v/>
      </c>
      <c r="C47" s="147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Monitoring'!C37,"")</f>
        <v/>
      </c>
      <c r="D47" s="146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Monitoring'!E37,"")</f>
        <v/>
      </c>
      <c r="E47" s="146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Monitoring'!F37,"")</f>
        <v/>
      </c>
      <c r="F47" s="148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Monitoring'!H37,"")</f>
        <v/>
      </c>
      <c r="G47" s="149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Monitoring'!I37,"")</f>
        <v/>
      </c>
      <c r="H47" s="150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Monitoring'!K37,"")</f>
        <v/>
      </c>
      <c r="I47" s="146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Monitoring'!N37,"")</f>
        <v/>
      </c>
      <c r="J47" s="146" t="str">
        <f ca="1">IF(AND('Bid Monitoring'!B37&lt;&gt;"",IF(B4="All",TRUE(),'Bid Monitoring'!N37=B4),IF(C4="All",TRUE(),'Bid Monitoring'!L37=C4),IF(D4="All",TRUE(),'Bid Monitoring'!F37=D4),IF(E4="All",TRUE(),'Bid Monitoring'!E37=E4),IF(F4="All",TRUE(),'Bid Monitoring'!R37=F4)),'Bid Monitoring'!L37,"")</f>
        <v/>
      </c>
    </row>
    <row r="48" ht="19.5" customHeight="1" spans="1:10">
      <c r="A48" s="151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Monitoring'!B38,"")</f>
        <v/>
      </c>
      <c r="B48" s="152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Monitoring'!D38,"")</f>
        <v/>
      </c>
      <c r="C48" s="152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Monitoring'!C38,"")</f>
        <v/>
      </c>
      <c r="D48" s="151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Monitoring'!E38,"")</f>
        <v/>
      </c>
      <c r="E48" s="151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Monitoring'!F38,"")</f>
        <v/>
      </c>
      <c r="F48" s="153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Monitoring'!H38,"")</f>
        <v/>
      </c>
      <c r="G48" s="154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Monitoring'!I38,"")</f>
        <v/>
      </c>
      <c r="H48" s="155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Monitoring'!K38,"")</f>
        <v/>
      </c>
      <c r="I48" s="151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Monitoring'!N38,"")</f>
        <v/>
      </c>
      <c r="J48" s="151" t="str">
        <f ca="1">IF(AND('Bid Monitoring'!B38&lt;&gt;"",IF(B4="All",TRUE(),'Bid Monitoring'!N38=B4),IF(C4="All",TRUE(),'Bid Monitoring'!L38=C4),IF(D4="All",TRUE(),'Bid Monitoring'!F38=D4),IF(E4="All",TRUE(),'Bid Monitoring'!E38=E4),IF(F4="All",TRUE(),'Bid Monitoring'!R38=F4)),'Bid Monitoring'!L38,"")</f>
        <v/>
      </c>
    </row>
    <row r="49" ht="19.5" customHeight="1" spans="1:10">
      <c r="A49" s="146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Monitoring'!B39,"")</f>
        <v/>
      </c>
      <c r="B49" s="147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Monitoring'!D39,"")</f>
        <v/>
      </c>
      <c r="C49" s="147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Monitoring'!C39,"")</f>
        <v/>
      </c>
      <c r="D49" s="146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Monitoring'!E39,"")</f>
        <v/>
      </c>
      <c r="E49" s="146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Monitoring'!F39,"")</f>
        <v/>
      </c>
      <c r="F49" s="148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Monitoring'!H39,"")</f>
        <v/>
      </c>
      <c r="G49" s="149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Monitoring'!I39,"")</f>
        <v/>
      </c>
      <c r="H49" s="150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Monitoring'!K39,"")</f>
        <v/>
      </c>
      <c r="I49" s="146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Monitoring'!N39,"")</f>
        <v/>
      </c>
      <c r="J49" s="146" t="str">
        <f ca="1">IF(AND('Bid Monitoring'!B39&lt;&gt;"",IF(B4="All",TRUE(),'Bid Monitoring'!N39=B4),IF(C4="All",TRUE(),'Bid Monitoring'!L39=C4),IF(D4="All",TRUE(),'Bid Monitoring'!F39=D4),IF(E4="All",TRUE(),'Bid Monitoring'!E39=E4),IF(F4="All",TRUE(),'Bid Monitoring'!R39=F4)),'Bid Monitoring'!L39,"")</f>
        <v/>
      </c>
    </row>
    <row r="50" ht="19.5" customHeight="1" spans="1:10">
      <c r="A50" s="151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Monitoring'!B40,"")</f>
        <v/>
      </c>
      <c r="B50" s="152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Monitoring'!D40,"")</f>
        <v/>
      </c>
      <c r="C50" s="152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Monitoring'!C40,"")</f>
        <v/>
      </c>
      <c r="D50" s="151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Monitoring'!E40,"")</f>
        <v/>
      </c>
      <c r="E50" s="151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Monitoring'!F40,"")</f>
        <v/>
      </c>
      <c r="F50" s="153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Monitoring'!H40,"")</f>
        <v/>
      </c>
      <c r="G50" s="154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Monitoring'!I40,"")</f>
        <v/>
      </c>
      <c r="H50" s="155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Monitoring'!K40,"")</f>
        <v/>
      </c>
      <c r="I50" s="151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Monitoring'!N40,"")</f>
        <v/>
      </c>
      <c r="J50" s="151" t="str">
        <f ca="1">IF(AND('Bid Monitoring'!B40&lt;&gt;"",IF(B4="All",TRUE(),'Bid Monitoring'!N40=B4),IF(C4="All",TRUE(),'Bid Monitoring'!L40=C4),IF(D4="All",TRUE(),'Bid Monitoring'!F40=D4),IF(E4="All",TRUE(),'Bid Monitoring'!E40=E4),IF(F4="All",TRUE(),'Bid Monitoring'!R40=F4)),'Bid Monitoring'!L40,"")</f>
        <v/>
      </c>
    </row>
    <row r="51" ht="19.5" customHeight="1" spans="1:10">
      <c r="A51" s="146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Monitoring'!B41,"")</f>
        <v/>
      </c>
      <c r="B51" s="147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Monitoring'!D41,"")</f>
        <v/>
      </c>
      <c r="C51" s="147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Monitoring'!C41,"")</f>
        <v/>
      </c>
      <c r="D51" s="146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Monitoring'!E41,"")</f>
        <v/>
      </c>
      <c r="E51" s="146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Monitoring'!F41,"")</f>
        <v/>
      </c>
      <c r="F51" s="148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Monitoring'!H41,"")</f>
        <v/>
      </c>
      <c r="G51" s="149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Monitoring'!I41,"")</f>
        <v/>
      </c>
      <c r="H51" s="150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Monitoring'!K41,"")</f>
        <v/>
      </c>
      <c r="I51" s="146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Monitoring'!N41,"")</f>
        <v/>
      </c>
      <c r="J51" s="146" t="str">
        <f ca="1">IF(AND('Bid Monitoring'!B41&lt;&gt;"",IF(B4="All",TRUE(),'Bid Monitoring'!N41=B4),IF(C4="All",TRUE(),'Bid Monitoring'!L41=C4),IF(D4="All",TRUE(),'Bid Monitoring'!F41=D4),IF(E4="All",TRUE(),'Bid Monitoring'!E41=E4),IF(F4="All",TRUE(),'Bid Monitoring'!R41=F4)),'Bid Monitoring'!L41,"")</f>
        <v/>
      </c>
    </row>
    <row r="52" ht="19.5" customHeight="1" spans="1:10">
      <c r="A52" s="151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Monitoring'!B42,"")</f>
        <v/>
      </c>
      <c r="B52" s="152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Monitoring'!D42,"")</f>
        <v/>
      </c>
      <c r="C52" s="152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Monitoring'!C42,"")</f>
        <v/>
      </c>
      <c r="D52" s="151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Monitoring'!E42,"")</f>
        <v/>
      </c>
      <c r="E52" s="151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Monitoring'!F42,"")</f>
        <v/>
      </c>
      <c r="F52" s="153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Monitoring'!H42,"")</f>
        <v/>
      </c>
      <c r="G52" s="154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Monitoring'!I42,"")</f>
        <v/>
      </c>
      <c r="H52" s="155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Monitoring'!K42,"")</f>
        <v/>
      </c>
      <c r="I52" s="151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Monitoring'!N42,"")</f>
        <v/>
      </c>
      <c r="J52" s="151" t="str">
        <f ca="1">IF(AND('Bid Monitoring'!B42&lt;&gt;"",IF(B4="All",TRUE(),'Bid Monitoring'!N42=B4),IF(C4="All",TRUE(),'Bid Monitoring'!L42=C4),IF(D4="All",TRUE(),'Bid Monitoring'!F42=D4),IF(E4="All",TRUE(),'Bid Monitoring'!E42=E4),IF(F4="All",TRUE(),'Bid Monitoring'!R42=F4)),'Bid Monitoring'!L42,"")</f>
        <v/>
      </c>
    </row>
    <row r="53" ht="19.5" customHeight="1" spans="1:10">
      <c r="A53" s="146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Monitoring'!B43,"")</f>
        <v/>
      </c>
      <c r="B53" s="147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Monitoring'!D43,"")</f>
        <v/>
      </c>
      <c r="C53" s="147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Monitoring'!C43,"")</f>
        <v/>
      </c>
      <c r="D53" s="146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Monitoring'!E43,"")</f>
        <v/>
      </c>
      <c r="E53" s="146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Monitoring'!F43,"")</f>
        <v/>
      </c>
      <c r="F53" s="148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Monitoring'!H43,"")</f>
        <v/>
      </c>
      <c r="G53" s="149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Monitoring'!I43,"")</f>
        <v/>
      </c>
      <c r="H53" s="150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Monitoring'!K43,"")</f>
        <v/>
      </c>
      <c r="I53" s="146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Monitoring'!N43,"")</f>
        <v/>
      </c>
      <c r="J53" s="146" t="str">
        <f ca="1">IF(AND('Bid Monitoring'!B43&lt;&gt;"",IF(B4="All",TRUE(),'Bid Monitoring'!N43=B4),IF(C4="All",TRUE(),'Bid Monitoring'!L43=C4),IF(D4="All",TRUE(),'Bid Monitoring'!F43=D4),IF(E4="All",TRUE(),'Bid Monitoring'!E43=E4),IF(F4="All",TRUE(),'Bid Monitoring'!R43=F4)),'Bid Monitoring'!L43,"")</f>
        <v/>
      </c>
    </row>
    <row r="54" ht="19.5" customHeight="1" spans="1:10">
      <c r="A54" s="151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Monitoring'!B44,"")</f>
        <v/>
      </c>
      <c r="B54" s="152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Monitoring'!D44,"")</f>
        <v/>
      </c>
      <c r="C54" s="152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Monitoring'!C44,"")</f>
        <v/>
      </c>
      <c r="D54" s="151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Monitoring'!E44,"")</f>
        <v/>
      </c>
      <c r="E54" s="151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Monitoring'!F44,"")</f>
        <v/>
      </c>
      <c r="F54" s="153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Monitoring'!H44,"")</f>
        <v/>
      </c>
      <c r="G54" s="154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Monitoring'!I44,"")</f>
        <v/>
      </c>
      <c r="H54" s="155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Monitoring'!K44,"")</f>
        <v/>
      </c>
      <c r="I54" s="151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Monitoring'!N44,"")</f>
        <v/>
      </c>
      <c r="J54" s="151" t="str">
        <f ca="1">IF(AND('Bid Monitoring'!B44&lt;&gt;"",IF(B4="All",TRUE(),'Bid Monitoring'!N44=B4),IF(C4="All",TRUE(),'Bid Monitoring'!L44=C4),IF(D4="All",TRUE(),'Bid Monitoring'!F44=D4),IF(E4="All",TRUE(),'Bid Monitoring'!E44=E4),IF(F4="All",TRUE(),'Bid Monitoring'!R44=F4)),'Bid Monitoring'!L44,"")</f>
        <v/>
      </c>
    </row>
    <row r="55" ht="19.5" customHeight="1" spans="1:10">
      <c r="A55" s="146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Monitoring'!B45,"")</f>
        <v/>
      </c>
      <c r="B55" s="147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Monitoring'!D45,"")</f>
        <v/>
      </c>
      <c r="C55" s="147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Monitoring'!C45,"")</f>
        <v/>
      </c>
      <c r="D55" s="146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Monitoring'!E45,"")</f>
        <v/>
      </c>
      <c r="E55" s="146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Monitoring'!F45,"")</f>
        <v/>
      </c>
      <c r="F55" s="148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Monitoring'!H45,"")</f>
        <v/>
      </c>
      <c r="G55" s="149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Monitoring'!I45,"")</f>
        <v/>
      </c>
      <c r="H55" s="150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Monitoring'!K45,"")</f>
        <v/>
      </c>
      <c r="I55" s="146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Monitoring'!N45,"")</f>
        <v/>
      </c>
      <c r="J55" s="146" t="str">
        <f ca="1">IF(AND('Bid Monitoring'!B45&lt;&gt;"",IF(B4="All",TRUE(),'Bid Monitoring'!N45=B4),IF(C4="All",TRUE(),'Bid Monitoring'!L45=C4),IF(D4="All",TRUE(),'Bid Monitoring'!F45=D4),IF(E4="All",TRUE(),'Bid Monitoring'!E45=E4),IF(F4="All",TRUE(),'Bid Monitoring'!R45=F4)),'Bid Monitoring'!L45,"")</f>
        <v/>
      </c>
    </row>
    <row r="56" ht="19.5" customHeight="1" spans="1:10">
      <c r="A56" s="151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Monitoring'!B46,"")</f>
        <v/>
      </c>
      <c r="B56" s="152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Monitoring'!D46,"")</f>
        <v/>
      </c>
      <c r="C56" s="152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Monitoring'!C46,"")</f>
        <v/>
      </c>
      <c r="D56" s="151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Monitoring'!E46,"")</f>
        <v/>
      </c>
      <c r="E56" s="151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Monitoring'!F46,"")</f>
        <v/>
      </c>
      <c r="F56" s="153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Monitoring'!H46,"")</f>
        <v/>
      </c>
      <c r="G56" s="154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Monitoring'!I46,"")</f>
        <v/>
      </c>
      <c r="H56" s="155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Monitoring'!K46,"")</f>
        <v/>
      </c>
      <c r="I56" s="151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Monitoring'!N46,"")</f>
        <v/>
      </c>
      <c r="J56" s="151" t="str">
        <f ca="1">IF(AND('Bid Monitoring'!B46&lt;&gt;"",IF(B4="All",TRUE(),'Bid Monitoring'!N46=B4),IF(C4="All",TRUE(),'Bid Monitoring'!L46=C4),IF(D4="All",TRUE(),'Bid Monitoring'!F46=D4),IF(E4="All",TRUE(),'Bid Monitoring'!E46=E4),IF(F4="All",TRUE(),'Bid Monitoring'!R46=F4)),'Bid Monitoring'!L46,"")</f>
        <v/>
      </c>
    </row>
    <row r="57" ht="19.5" customHeight="1" spans="1:10">
      <c r="A57" s="146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Monitoring'!B47,"")</f>
        <v/>
      </c>
      <c r="B57" s="147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Monitoring'!D47,"")</f>
        <v/>
      </c>
      <c r="C57" s="147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Monitoring'!C47,"")</f>
        <v/>
      </c>
      <c r="D57" s="146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Monitoring'!E47,"")</f>
        <v/>
      </c>
      <c r="E57" s="146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Monitoring'!F47,"")</f>
        <v/>
      </c>
      <c r="F57" s="148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Monitoring'!H47,"")</f>
        <v/>
      </c>
      <c r="G57" s="149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Monitoring'!I47,"")</f>
        <v/>
      </c>
      <c r="H57" s="150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Monitoring'!K47,"")</f>
        <v/>
      </c>
      <c r="I57" s="146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Monitoring'!N47,"")</f>
        <v/>
      </c>
      <c r="J57" s="146" t="str">
        <f ca="1">IF(AND('Bid Monitoring'!B47&lt;&gt;"",IF(B4="All",TRUE(),'Bid Monitoring'!N47=B4),IF(C4="All",TRUE(),'Bid Monitoring'!L47=C4),IF(D4="All",TRUE(),'Bid Monitoring'!F47=D4),IF(E4="All",TRUE(),'Bid Monitoring'!E47=E4),IF(F4="All",TRUE(),'Bid Monitoring'!R47=F4)),'Bid Monitoring'!L47,"")</f>
        <v/>
      </c>
    </row>
    <row r="58" ht="19.5" customHeight="1" spans="1:10">
      <c r="A58" s="151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Monitoring'!B48,"")</f>
        <v/>
      </c>
      <c r="B58" s="152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Monitoring'!D48,"")</f>
        <v/>
      </c>
      <c r="C58" s="152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Monitoring'!C48,"")</f>
        <v/>
      </c>
      <c r="D58" s="151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Monitoring'!E48,"")</f>
        <v/>
      </c>
      <c r="E58" s="151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Monitoring'!F48,"")</f>
        <v/>
      </c>
      <c r="F58" s="153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Monitoring'!H48,"")</f>
        <v/>
      </c>
      <c r="G58" s="154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Monitoring'!I48,"")</f>
        <v/>
      </c>
      <c r="H58" s="155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Monitoring'!K48,"")</f>
        <v/>
      </c>
      <c r="I58" s="151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Monitoring'!N48,"")</f>
        <v/>
      </c>
      <c r="J58" s="151" t="str">
        <f ca="1">IF(AND('Bid Monitoring'!B48&lt;&gt;"",IF(B4="All",TRUE(),'Bid Monitoring'!N48=B4),IF(C4="All",TRUE(),'Bid Monitoring'!L48=C4),IF(D4="All",TRUE(),'Bid Monitoring'!F48=D4),IF(E4="All",TRUE(),'Bid Monitoring'!E48=E4),IF(F4="All",TRUE(),'Bid Monitoring'!R48=F4)),'Bid Monitoring'!L48,"")</f>
        <v/>
      </c>
    </row>
    <row r="59" ht="19.5" customHeight="1" spans="1:10">
      <c r="A59" s="146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Monitoring'!B49,"")</f>
        <v/>
      </c>
      <c r="B59" s="147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Monitoring'!D49,"")</f>
        <v/>
      </c>
      <c r="C59" s="147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Monitoring'!C49,"")</f>
        <v/>
      </c>
      <c r="D59" s="146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Monitoring'!E49,"")</f>
        <v/>
      </c>
      <c r="E59" s="146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Monitoring'!F49,"")</f>
        <v/>
      </c>
      <c r="F59" s="148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Monitoring'!H49,"")</f>
        <v/>
      </c>
      <c r="G59" s="149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Monitoring'!I49,"")</f>
        <v/>
      </c>
      <c r="H59" s="150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Monitoring'!K49,"")</f>
        <v/>
      </c>
      <c r="I59" s="146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Monitoring'!N49,"")</f>
        <v/>
      </c>
      <c r="J59" s="146" t="str">
        <f ca="1">IF(AND('Bid Monitoring'!B49&lt;&gt;"",IF(B4="All",TRUE(),'Bid Monitoring'!N49=B4),IF(C4="All",TRUE(),'Bid Monitoring'!L49=C4),IF(D4="All",TRUE(),'Bid Monitoring'!F49=D4),IF(E4="All",TRUE(),'Bid Monitoring'!E49=E4),IF(F4="All",TRUE(),'Bid Monitoring'!R49=F4)),'Bid Monitoring'!L49,"")</f>
        <v/>
      </c>
    </row>
    <row r="60" ht="19.5" customHeight="1" spans="1:10">
      <c r="A60" s="151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Monitoring'!B50,"")</f>
        <v/>
      </c>
      <c r="B60" s="152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Monitoring'!D50,"")</f>
        <v/>
      </c>
      <c r="C60" s="152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Monitoring'!C50,"")</f>
        <v/>
      </c>
      <c r="D60" s="151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Monitoring'!E50,"")</f>
        <v/>
      </c>
      <c r="E60" s="151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Monitoring'!F50,"")</f>
        <v/>
      </c>
      <c r="F60" s="153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Monitoring'!H50,"")</f>
        <v/>
      </c>
      <c r="G60" s="154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Monitoring'!I50,"")</f>
        <v/>
      </c>
      <c r="H60" s="155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Monitoring'!K50,"")</f>
        <v/>
      </c>
      <c r="I60" s="151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Monitoring'!N50,"")</f>
        <v/>
      </c>
      <c r="J60" s="151" t="str">
        <f ca="1">IF(AND('Bid Monitoring'!B50&lt;&gt;"",IF(B4="All",TRUE(),'Bid Monitoring'!N50=B4),IF(C4="All",TRUE(),'Bid Monitoring'!L50=C4),IF(D4="All",TRUE(),'Bid Monitoring'!F50=D4),IF(E4="All",TRUE(),'Bid Monitoring'!E50=E4),IF(F4="All",TRUE(),'Bid Monitoring'!R50=F4)),'Bid Monitoring'!L50,"")</f>
        <v/>
      </c>
    </row>
    <row r="61" ht="19.5" customHeight="1" spans="1:10">
      <c r="A61" s="146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Monitoring'!B51,"")</f>
        <v/>
      </c>
      <c r="B61" s="147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Monitoring'!D51,"")</f>
        <v/>
      </c>
      <c r="C61" s="147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Monitoring'!C51,"")</f>
        <v/>
      </c>
      <c r="D61" s="146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Monitoring'!E51,"")</f>
        <v/>
      </c>
      <c r="E61" s="146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Monitoring'!F51,"")</f>
        <v/>
      </c>
      <c r="F61" s="148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Monitoring'!H51,"")</f>
        <v/>
      </c>
      <c r="G61" s="149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Monitoring'!I51,"")</f>
        <v/>
      </c>
      <c r="H61" s="150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Monitoring'!K51,"")</f>
        <v/>
      </c>
      <c r="I61" s="146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Monitoring'!N51,"")</f>
        <v/>
      </c>
      <c r="J61" s="146" t="str">
        <f ca="1">IF(AND('Bid Monitoring'!B51&lt;&gt;"",IF(B4="All",TRUE(),'Bid Monitoring'!N51=B4),IF(C4="All",TRUE(),'Bid Monitoring'!L51=C4),IF(D4="All",TRUE(),'Bid Monitoring'!F51=D4),IF(E4="All",TRUE(),'Bid Monitoring'!E51=E4),IF(F4="All",TRUE(),'Bid Monitoring'!R51=F4)),'Bid Monitoring'!L51,"")</f>
        <v/>
      </c>
    </row>
    <row r="62" ht="19.5" customHeight="1" spans="1:10">
      <c r="A62" s="151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Monitoring'!B52,"")</f>
        <v/>
      </c>
      <c r="B62" s="152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Monitoring'!D52,"")</f>
        <v/>
      </c>
      <c r="C62" s="152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Monitoring'!C52,"")</f>
        <v/>
      </c>
      <c r="D62" s="151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Monitoring'!E52,"")</f>
        <v/>
      </c>
      <c r="E62" s="151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Monitoring'!F52,"")</f>
        <v/>
      </c>
      <c r="F62" s="153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Monitoring'!H52,"")</f>
        <v/>
      </c>
      <c r="G62" s="154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Monitoring'!I52,"")</f>
        <v/>
      </c>
      <c r="H62" s="155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Monitoring'!K52,"")</f>
        <v/>
      </c>
      <c r="I62" s="151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Monitoring'!N52,"")</f>
        <v/>
      </c>
      <c r="J62" s="151" t="str">
        <f ca="1">IF(AND('Bid Monitoring'!B52&lt;&gt;"",IF(B4="All",TRUE(),'Bid Monitoring'!N52=B4),IF(C4="All",TRUE(),'Bid Monitoring'!L52=C4),IF(D4="All",TRUE(),'Bid Monitoring'!F52=D4),IF(E4="All",TRUE(),'Bid Monitoring'!E52=E4),IF(F4="All",TRUE(),'Bid Monitoring'!R52=F4)),'Bid Monitoring'!L52,"")</f>
        <v/>
      </c>
    </row>
    <row r="63" ht="19.5" customHeight="1" spans="1:10">
      <c r="A63" s="146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Monitoring'!B53,"")</f>
        <v/>
      </c>
      <c r="B63" s="147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Monitoring'!D53,"")</f>
        <v/>
      </c>
      <c r="C63" s="147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Monitoring'!C53,"")</f>
        <v/>
      </c>
      <c r="D63" s="146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Monitoring'!E53,"")</f>
        <v/>
      </c>
      <c r="E63" s="146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Monitoring'!F53,"")</f>
        <v/>
      </c>
      <c r="F63" s="148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Monitoring'!H53,"")</f>
        <v/>
      </c>
      <c r="G63" s="149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Monitoring'!I53,"")</f>
        <v/>
      </c>
      <c r="H63" s="150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Monitoring'!K53,"")</f>
        <v/>
      </c>
      <c r="I63" s="146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Monitoring'!N53,"")</f>
        <v/>
      </c>
      <c r="J63" s="146" t="str">
        <f ca="1">IF(AND('Bid Monitoring'!B53&lt;&gt;"",IF(B4="All",TRUE(),'Bid Monitoring'!N53=B4),IF(C4="All",TRUE(),'Bid Monitoring'!L53=C4),IF(D4="All",TRUE(),'Bid Monitoring'!F53=D4),IF(E4="All",TRUE(),'Bid Monitoring'!E53=E4),IF(F4="All",TRUE(),'Bid Monitoring'!R53=F4)),'Bid Monitoring'!L53,"")</f>
        <v/>
      </c>
    </row>
    <row r="64" ht="19.5" customHeight="1" spans="1:10">
      <c r="A64" s="151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Monitoring'!B54,"")</f>
        <v/>
      </c>
      <c r="B64" s="152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Monitoring'!D54,"")</f>
        <v/>
      </c>
      <c r="C64" s="152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Monitoring'!C54,"")</f>
        <v/>
      </c>
      <c r="D64" s="151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Monitoring'!E54,"")</f>
        <v/>
      </c>
      <c r="E64" s="151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Monitoring'!F54,"")</f>
        <v/>
      </c>
      <c r="F64" s="153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Monitoring'!H54,"")</f>
        <v/>
      </c>
      <c r="G64" s="154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Monitoring'!I54,"")</f>
        <v/>
      </c>
      <c r="H64" s="155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Monitoring'!K54,"")</f>
        <v/>
      </c>
      <c r="I64" s="151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Monitoring'!N54,"")</f>
        <v/>
      </c>
      <c r="J64" s="151" t="str">
        <f ca="1">IF(AND('Bid Monitoring'!B54&lt;&gt;"",IF(B4="All",TRUE(),'Bid Monitoring'!N54=B4),IF(C4="All",TRUE(),'Bid Monitoring'!L54=C4),IF(D4="All",TRUE(),'Bid Monitoring'!F54=D4),IF(E4="All",TRUE(),'Bid Monitoring'!E54=E4),IF(F4="All",TRUE(),'Bid Monitoring'!R54=F4)),'Bid Monitoring'!L54,"")</f>
        <v/>
      </c>
    </row>
    <row r="65" ht="19.5" customHeight="1" spans="1:10">
      <c r="A65" s="146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Monitoring'!B55,"")</f>
        <v/>
      </c>
      <c r="B65" s="147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Monitoring'!D55,"")</f>
        <v/>
      </c>
      <c r="C65" s="147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Monitoring'!C55,"")</f>
        <v/>
      </c>
      <c r="D65" s="146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Monitoring'!E55,"")</f>
        <v/>
      </c>
      <c r="E65" s="146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Monitoring'!F55,"")</f>
        <v/>
      </c>
      <c r="F65" s="148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Monitoring'!H55,"")</f>
        <v/>
      </c>
      <c r="G65" s="149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Monitoring'!I55,"")</f>
        <v/>
      </c>
      <c r="H65" s="150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Monitoring'!K55,"")</f>
        <v/>
      </c>
      <c r="I65" s="146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Monitoring'!N55,"")</f>
        <v/>
      </c>
      <c r="J65" s="146" t="str">
        <f ca="1">IF(AND('Bid Monitoring'!B55&lt;&gt;"",IF(B4="All",TRUE(),'Bid Monitoring'!N55=B4),IF(C4="All",TRUE(),'Bid Monitoring'!L55=C4),IF(D4="All",TRUE(),'Bid Monitoring'!F55=D4),IF(E4="All",TRUE(),'Bid Monitoring'!E55=E4),IF(F4="All",TRUE(),'Bid Monitoring'!R55=F4)),'Bid Monitoring'!L55,"")</f>
        <v/>
      </c>
    </row>
    <row r="66" ht="19.5" customHeight="1" spans="1:10">
      <c r="A66" s="151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Monitoring'!B56,"")</f>
        <v/>
      </c>
      <c r="B66" s="152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Monitoring'!D56,"")</f>
        <v/>
      </c>
      <c r="C66" s="152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Monitoring'!C56,"")</f>
        <v/>
      </c>
      <c r="D66" s="151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Monitoring'!E56,"")</f>
        <v/>
      </c>
      <c r="E66" s="151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Monitoring'!F56,"")</f>
        <v/>
      </c>
      <c r="F66" s="153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Monitoring'!H56,"")</f>
        <v/>
      </c>
      <c r="G66" s="154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Monitoring'!I56,"")</f>
        <v/>
      </c>
      <c r="H66" s="155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Monitoring'!K56,"")</f>
        <v/>
      </c>
      <c r="I66" s="151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Monitoring'!N56,"")</f>
        <v/>
      </c>
      <c r="J66" s="151" t="str">
        <f ca="1">IF(AND('Bid Monitoring'!B56&lt;&gt;"",IF(B4="All",TRUE(),'Bid Monitoring'!N56=B4),IF(C4="All",TRUE(),'Bid Monitoring'!L56=C4),IF(D4="All",TRUE(),'Bid Monitoring'!F56=D4),IF(E4="All",TRUE(),'Bid Monitoring'!E56=E4),IF(F4="All",TRUE(),'Bid Monitoring'!R56=F4)),'Bid Monitoring'!L56,"")</f>
        <v/>
      </c>
    </row>
    <row r="67" ht="19.5" customHeight="1" spans="1:10">
      <c r="A67" s="146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Monitoring'!B57,"")</f>
        <v/>
      </c>
      <c r="B67" s="147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Monitoring'!D57,"")</f>
        <v/>
      </c>
      <c r="C67" s="147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Monitoring'!C57,"")</f>
        <v/>
      </c>
      <c r="D67" s="146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Monitoring'!E57,"")</f>
        <v/>
      </c>
      <c r="E67" s="146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Monitoring'!F57,"")</f>
        <v/>
      </c>
      <c r="F67" s="148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Monitoring'!H57,"")</f>
        <v/>
      </c>
      <c r="G67" s="149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Monitoring'!I57,"")</f>
        <v/>
      </c>
      <c r="H67" s="150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Monitoring'!K57,"")</f>
        <v/>
      </c>
      <c r="I67" s="146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Monitoring'!N57,"")</f>
        <v/>
      </c>
      <c r="J67" s="146" t="str">
        <f ca="1">IF(AND('Bid Monitoring'!B57&lt;&gt;"",IF(B4="All",TRUE(),'Bid Monitoring'!N57=B4),IF(C4="All",TRUE(),'Bid Monitoring'!L57=C4),IF(D4="All",TRUE(),'Bid Monitoring'!F57=D4),IF(E4="All",TRUE(),'Bid Monitoring'!E57=E4),IF(F4="All",TRUE(),'Bid Monitoring'!R57=F4)),'Bid Monitoring'!L57,"")</f>
        <v/>
      </c>
    </row>
    <row r="68" ht="19.5" customHeight="1" spans="1:10">
      <c r="A68" s="151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Monitoring'!B58,"")</f>
        <v/>
      </c>
      <c r="B68" s="152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Monitoring'!D58,"")</f>
        <v/>
      </c>
      <c r="C68" s="152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Monitoring'!C58,"")</f>
        <v/>
      </c>
      <c r="D68" s="151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Monitoring'!E58,"")</f>
        <v/>
      </c>
      <c r="E68" s="151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Monitoring'!F58,"")</f>
        <v/>
      </c>
      <c r="F68" s="153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Monitoring'!H58,"")</f>
        <v/>
      </c>
      <c r="G68" s="154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Monitoring'!I58,"")</f>
        <v/>
      </c>
      <c r="H68" s="155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Monitoring'!K58,"")</f>
        <v/>
      </c>
      <c r="I68" s="151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Monitoring'!N58,"")</f>
        <v/>
      </c>
      <c r="J68" s="151" t="str">
        <f ca="1">IF(AND('Bid Monitoring'!B58&lt;&gt;"",IF(B4="All",TRUE(),'Bid Monitoring'!N58=B4),IF(C4="All",TRUE(),'Bid Monitoring'!L58=C4),IF(D4="All",TRUE(),'Bid Monitoring'!F58=D4),IF(E4="All",TRUE(),'Bid Monitoring'!E58=E4),IF(F4="All",TRUE(),'Bid Monitoring'!R58=F4)),'Bid Monitoring'!L58,"")</f>
        <v/>
      </c>
    </row>
    <row r="69" ht="19.5" customHeight="1" spans="1:10">
      <c r="A69" s="146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Monitoring'!B59,"")</f>
        <v/>
      </c>
      <c r="B69" s="147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Monitoring'!D59,"")</f>
        <v/>
      </c>
      <c r="C69" s="147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Monitoring'!C59,"")</f>
        <v/>
      </c>
      <c r="D69" s="146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Monitoring'!E59,"")</f>
        <v/>
      </c>
      <c r="E69" s="146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Monitoring'!F59,"")</f>
        <v/>
      </c>
      <c r="F69" s="148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Monitoring'!H59,"")</f>
        <v/>
      </c>
      <c r="G69" s="149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Monitoring'!I59,"")</f>
        <v/>
      </c>
      <c r="H69" s="150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Monitoring'!K59,"")</f>
        <v/>
      </c>
      <c r="I69" s="146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Monitoring'!N59,"")</f>
        <v/>
      </c>
      <c r="J69" s="146" t="str">
        <f ca="1">IF(AND('Bid Monitoring'!B59&lt;&gt;"",IF(B4="All",TRUE(),'Bid Monitoring'!N59=B4),IF(C4="All",TRUE(),'Bid Monitoring'!L59=C4),IF(D4="All",TRUE(),'Bid Monitoring'!F59=D4),IF(E4="All",TRUE(),'Bid Monitoring'!E59=E4),IF(F4="All",TRUE(),'Bid Monitoring'!R59=F4)),'Bid Monitoring'!L59,"")</f>
        <v/>
      </c>
    </row>
    <row r="70" ht="19.5" customHeight="1" spans="1:10">
      <c r="A70" s="151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Monitoring'!B60,"")</f>
        <v/>
      </c>
      <c r="B70" s="152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Monitoring'!D60,"")</f>
        <v/>
      </c>
      <c r="C70" s="152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Monitoring'!C60,"")</f>
        <v/>
      </c>
      <c r="D70" s="151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Monitoring'!E60,"")</f>
        <v/>
      </c>
      <c r="E70" s="151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Monitoring'!F60,"")</f>
        <v/>
      </c>
      <c r="F70" s="153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Monitoring'!H60,"")</f>
        <v/>
      </c>
      <c r="G70" s="154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Monitoring'!I60,"")</f>
        <v/>
      </c>
      <c r="H70" s="155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Monitoring'!K60,"")</f>
        <v/>
      </c>
      <c r="I70" s="151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Monitoring'!N60,"")</f>
        <v/>
      </c>
      <c r="J70" s="151" t="str">
        <f ca="1">IF(AND('Bid Monitoring'!B60&lt;&gt;"",IF(B4="All",TRUE(),'Bid Monitoring'!N60=B4),IF(C4="All",TRUE(),'Bid Monitoring'!L60=C4),IF(D4="All",TRUE(),'Bid Monitoring'!F60=D4),IF(E4="All",TRUE(),'Bid Monitoring'!E60=E4),IF(F4="All",TRUE(),'Bid Monitoring'!R60=F4)),'Bid Monitoring'!L60,"")</f>
        <v/>
      </c>
    </row>
    <row r="71" ht="19.5" customHeight="1" spans="1:10">
      <c r="A71" s="146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Monitoring'!B61,"")</f>
        <v/>
      </c>
      <c r="B71" s="147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Monitoring'!D61,"")</f>
        <v/>
      </c>
      <c r="C71" s="147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Monitoring'!C61,"")</f>
        <v/>
      </c>
      <c r="D71" s="146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Monitoring'!E61,"")</f>
        <v/>
      </c>
      <c r="E71" s="146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Monitoring'!F61,"")</f>
        <v/>
      </c>
      <c r="F71" s="148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Monitoring'!H61,"")</f>
        <v/>
      </c>
      <c r="G71" s="149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Monitoring'!I61,"")</f>
        <v/>
      </c>
      <c r="H71" s="150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Monitoring'!K61,"")</f>
        <v/>
      </c>
      <c r="I71" s="146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Monitoring'!N61,"")</f>
        <v/>
      </c>
      <c r="J71" s="146" t="str">
        <f ca="1">IF(AND('Bid Monitoring'!B61&lt;&gt;"",IF(B4="All",TRUE(),'Bid Monitoring'!N61=B4),IF(C4="All",TRUE(),'Bid Monitoring'!L61=C4),IF(D4="All",TRUE(),'Bid Monitoring'!F61=D4),IF(E4="All",TRUE(),'Bid Monitoring'!E61=E4),IF(F4="All",TRUE(),'Bid Monitoring'!R61=F4)),'Bid Monitoring'!L61,"")</f>
        <v/>
      </c>
    </row>
    <row r="72" ht="19.5" customHeight="1" spans="1:10">
      <c r="A72" s="151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Monitoring'!B62,"")</f>
        <v/>
      </c>
      <c r="B72" s="152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Monitoring'!D62,"")</f>
        <v/>
      </c>
      <c r="C72" s="152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Monitoring'!C62,"")</f>
        <v/>
      </c>
      <c r="D72" s="151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Monitoring'!E62,"")</f>
        <v/>
      </c>
      <c r="E72" s="151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Monitoring'!F62,"")</f>
        <v/>
      </c>
      <c r="F72" s="153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Monitoring'!H62,"")</f>
        <v/>
      </c>
      <c r="G72" s="154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Monitoring'!I62,"")</f>
        <v/>
      </c>
      <c r="H72" s="155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Monitoring'!K62,"")</f>
        <v/>
      </c>
      <c r="I72" s="151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Monitoring'!N62,"")</f>
        <v/>
      </c>
      <c r="J72" s="151" t="str">
        <f ca="1">IF(AND('Bid Monitoring'!B62&lt;&gt;"",IF(B4="All",TRUE(),'Bid Monitoring'!N62=B4),IF(C4="All",TRUE(),'Bid Monitoring'!L62=C4),IF(D4="All",TRUE(),'Bid Monitoring'!F62=D4),IF(E4="All",TRUE(),'Bid Monitoring'!E62=E4),IF(F4="All",TRUE(),'Bid Monitoring'!R62=F4)),'Bid Monitoring'!L62,"")</f>
        <v/>
      </c>
    </row>
    <row r="73" ht="19.5" customHeight="1" spans="1:10">
      <c r="A73" s="146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Monitoring'!B63,"")</f>
        <v/>
      </c>
      <c r="B73" s="147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Monitoring'!D63,"")</f>
        <v/>
      </c>
      <c r="C73" s="147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Monitoring'!C63,"")</f>
        <v/>
      </c>
      <c r="D73" s="146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Monitoring'!E63,"")</f>
        <v/>
      </c>
      <c r="E73" s="146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Monitoring'!F63,"")</f>
        <v/>
      </c>
      <c r="F73" s="148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Monitoring'!H63,"")</f>
        <v/>
      </c>
      <c r="G73" s="149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Monitoring'!I63,"")</f>
        <v/>
      </c>
      <c r="H73" s="150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Monitoring'!K63,"")</f>
        <v/>
      </c>
      <c r="I73" s="146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Monitoring'!N63,"")</f>
        <v/>
      </c>
      <c r="J73" s="146" t="str">
        <f ca="1">IF(AND('Bid Monitoring'!B63&lt;&gt;"",IF(B4="All",TRUE(),'Bid Monitoring'!N63=B4),IF(C4="All",TRUE(),'Bid Monitoring'!L63=C4),IF(D4="All",TRUE(),'Bid Monitoring'!F63=D4),IF(E4="All",TRUE(),'Bid Monitoring'!E63=E4),IF(F4="All",TRUE(),'Bid Monitoring'!R63=F4)),'Bid Monitoring'!L63,"")</f>
        <v/>
      </c>
    </row>
    <row r="74" ht="19.5" customHeight="1" spans="1:10">
      <c r="A74" s="151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Monitoring'!B64,"")</f>
        <v/>
      </c>
      <c r="B74" s="152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Monitoring'!D64,"")</f>
        <v/>
      </c>
      <c r="C74" s="152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Monitoring'!C64,"")</f>
        <v/>
      </c>
      <c r="D74" s="151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Monitoring'!E64,"")</f>
        <v/>
      </c>
      <c r="E74" s="151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Monitoring'!F64,"")</f>
        <v/>
      </c>
      <c r="F74" s="153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Monitoring'!H64,"")</f>
        <v/>
      </c>
      <c r="G74" s="154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Monitoring'!I64,"")</f>
        <v/>
      </c>
      <c r="H74" s="155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Monitoring'!K64,"")</f>
        <v/>
      </c>
      <c r="I74" s="151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Monitoring'!N64,"")</f>
        <v/>
      </c>
      <c r="J74" s="151" t="str">
        <f ca="1">IF(AND('Bid Monitoring'!B64&lt;&gt;"",IF(B4="All",TRUE(),'Bid Monitoring'!N64=B4),IF(C4="All",TRUE(),'Bid Monitoring'!L64=C4),IF(D4="All",TRUE(),'Bid Monitoring'!F64=D4),IF(E4="All",TRUE(),'Bid Monitoring'!E64=E4),IF(F4="All",TRUE(),'Bid Monitoring'!R64=F4)),'Bid Monitoring'!L64,"")</f>
        <v/>
      </c>
    </row>
    <row r="75" ht="19.5" customHeight="1" spans="1:10">
      <c r="A75" s="146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Monitoring'!B65,"")</f>
        <v/>
      </c>
      <c r="B75" s="147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Monitoring'!D65,"")</f>
        <v/>
      </c>
      <c r="C75" s="147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Monitoring'!C65,"")</f>
        <v/>
      </c>
      <c r="D75" s="146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Monitoring'!E65,"")</f>
        <v/>
      </c>
      <c r="E75" s="146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Monitoring'!F65,"")</f>
        <v/>
      </c>
      <c r="F75" s="148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Monitoring'!H65,"")</f>
        <v/>
      </c>
      <c r="G75" s="149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Monitoring'!I65,"")</f>
        <v/>
      </c>
      <c r="H75" s="150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Monitoring'!K65,"")</f>
        <v/>
      </c>
      <c r="I75" s="146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Monitoring'!N65,"")</f>
        <v/>
      </c>
      <c r="J75" s="146" t="str">
        <f ca="1">IF(AND('Bid Monitoring'!B65&lt;&gt;"",IF(B4="All",TRUE(),'Bid Monitoring'!N65=B4),IF(C4="All",TRUE(),'Bid Monitoring'!L65=C4),IF(D4="All",TRUE(),'Bid Monitoring'!F65=D4),IF(E4="All",TRUE(),'Bid Monitoring'!E65=E4),IF(F4="All",TRUE(),'Bid Monitoring'!R65=F4)),'Bid Monitoring'!L65,"")</f>
        <v/>
      </c>
    </row>
    <row r="76" ht="19.5" customHeight="1" spans="1:10">
      <c r="A76" s="151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Monitoring'!B66,"")</f>
        <v/>
      </c>
      <c r="B76" s="152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Monitoring'!D66,"")</f>
        <v/>
      </c>
      <c r="C76" s="152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Monitoring'!C66,"")</f>
        <v/>
      </c>
      <c r="D76" s="151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Monitoring'!E66,"")</f>
        <v/>
      </c>
      <c r="E76" s="151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Monitoring'!F66,"")</f>
        <v/>
      </c>
      <c r="F76" s="153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Monitoring'!H66,"")</f>
        <v/>
      </c>
      <c r="G76" s="154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Monitoring'!I66,"")</f>
        <v/>
      </c>
      <c r="H76" s="155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Monitoring'!K66,"")</f>
        <v/>
      </c>
      <c r="I76" s="151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Monitoring'!N66,"")</f>
        <v/>
      </c>
      <c r="J76" s="151" t="str">
        <f ca="1">IF(AND('Bid Monitoring'!B66&lt;&gt;"",IF(B4="All",TRUE(),'Bid Monitoring'!N66=B4),IF(C4="All",TRUE(),'Bid Monitoring'!L66=C4),IF(D4="All",TRUE(),'Bid Monitoring'!F66=D4),IF(E4="All",TRUE(),'Bid Monitoring'!E66=E4),IF(F4="All",TRUE(),'Bid Monitoring'!R66=F4)),'Bid Monitoring'!L66,"")</f>
        <v/>
      </c>
    </row>
    <row r="77" ht="19.5" customHeight="1" spans="1:10">
      <c r="A77" s="146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Monitoring'!B67,"")</f>
        <v/>
      </c>
      <c r="B77" s="147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Monitoring'!D67,"")</f>
        <v/>
      </c>
      <c r="C77" s="147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Monitoring'!C67,"")</f>
        <v/>
      </c>
      <c r="D77" s="146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Monitoring'!E67,"")</f>
        <v/>
      </c>
      <c r="E77" s="146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Monitoring'!F67,"")</f>
        <v/>
      </c>
      <c r="F77" s="148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Monitoring'!H67,"")</f>
        <v/>
      </c>
      <c r="G77" s="149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Monitoring'!I67,"")</f>
        <v/>
      </c>
      <c r="H77" s="150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Monitoring'!K67,"")</f>
        <v/>
      </c>
      <c r="I77" s="146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Monitoring'!N67,"")</f>
        <v/>
      </c>
      <c r="J77" s="146" t="str">
        <f ca="1">IF(AND('Bid Monitoring'!B67&lt;&gt;"",IF(B4="All",TRUE(),'Bid Monitoring'!N67=B4),IF(C4="All",TRUE(),'Bid Monitoring'!L67=C4),IF(D4="All",TRUE(),'Bid Monitoring'!F67=D4),IF(E4="All",TRUE(),'Bid Monitoring'!E67=E4),IF(F4="All",TRUE(),'Bid Monitoring'!R67=F4)),'Bid Monitoring'!L67,"")</f>
        <v/>
      </c>
    </row>
    <row r="78" ht="19.5" customHeight="1" spans="1:10">
      <c r="A78" s="151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Monitoring'!B68,"")</f>
        <v/>
      </c>
      <c r="B78" s="152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Monitoring'!D68,"")</f>
        <v/>
      </c>
      <c r="C78" s="152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Monitoring'!C68,"")</f>
        <v/>
      </c>
      <c r="D78" s="151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Monitoring'!E68,"")</f>
        <v/>
      </c>
      <c r="E78" s="151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Monitoring'!F68,"")</f>
        <v/>
      </c>
      <c r="F78" s="153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Monitoring'!H68,"")</f>
        <v/>
      </c>
      <c r="G78" s="154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Monitoring'!I68,"")</f>
        <v/>
      </c>
      <c r="H78" s="155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Monitoring'!K68,"")</f>
        <v/>
      </c>
      <c r="I78" s="151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Monitoring'!N68,"")</f>
        <v/>
      </c>
      <c r="J78" s="151" t="str">
        <f ca="1">IF(AND('Bid Monitoring'!B68&lt;&gt;"",IF(B4="All",TRUE(),'Bid Monitoring'!N68=B4),IF(C4="All",TRUE(),'Bid Monitoring'!L68=C4),IF(D4="All",TRUE(),'Bid Monitoring'!F68=D4),IF(E4="All",TRUE(),'Bid Monitoring'!E68=E4),IF(F4="All",TRUE(),'Bid Monitoring'!R68=F4)),'Bid Monitoring'!L68,"")</f>
        <v/>
      </c>
    </row>
    <row r="79" ht="19.5" customHeight="1" spans="1:10">
      <c r="A79" s="146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Monitoring'!B69,"")</f>
        <v/>
      </c>
      <c r="B79" s="147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Monitoring'!D69,"")</f>
        <v/>
      </c>
      <c r="C79" s="147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Monitoring'!C69,"")</f>
        <v/>
      </c>
      <c r="D79" s="146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Monitoring'!E69,"")</f>
        <v/>
      </c>
      <c r="E79" s="146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Monitoring'!F69,"")</f>
        <v/>
      </c>
      <c r="F79" s="148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Monitoring'!H69,"")</f>
        <v/>
      </c>
      <c r="G79" s="149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Monitoring'!I69,"")</f>
        <v/>
      </c>
      <c r="H79" s="150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Monitoring'!K69,"")</f>
        <v/>
      </c>
      <c r="I79" s="146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Monitoring'!N69,"")</f>
        <v/>
      </c>
      <c r="J79" s="146" t="str">
        <f ca="1">IF(AND('Bid Monitoring'!B69&lt;&gt;"",IF(B4="All",TRUE(),'Bid Monitoring'!N69=B4),IF(C4="All",TRUE(),'Bid Monitoring'!L69=C4),IF(D4="All",TRUE(),'Bid Monitoring'!F69=D4),IF(E4="All",TRUE(),'Bid Monitoring'!E69=E4),IF(F4="All",TRUE(),'Bid Monitoring'!R69=F4)),'Bid Monitoring'!L69,"")</f>
        <v/>
      </c>
    </row>
    <row r="80" ht="19.5" customHeight="1" spans="1:10">
      <c r="A80" s="151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Monitoring'!B70,"")</f>
        <v/>
      </c>
      <c r="B80" s="152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Monitoring'!D70,"")</f>
        <v/>
      </c>
      <c r="C80" s="152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Monitoring'!C70,"")</f>
        <v/>
      </c>
      <c r="D80" s="151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Monitoring'!E70,"")</f>
        <v/>
      </c>
      <c r="E80" s="151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Monitoring'!F70,"")</f>
        <v/>
      </c>
      <c r="F80" s="153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Monitoring'!H70,"")</f>
        <v/>
      </c>
      <c r="G80" s="154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Monitoring'!I70,"")</f>
        <v/>
      </c>
      <c r="H80" s="155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Monitoring'!K70,"")</f>
        <v/>
      </c>
      <c r="I80" s="151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Monitoring'!N70,"")</f>
        <v/>
      </c>
      <c r="J80" s="151" t="str">
        <f ca="1">IF(AND('Bid Monitoring'!B70&lt;&gt;"",IF(B4="All",TRUE(),'Bid Monitoring'!N70=B4),IF(C4="All",TRUE(),'Bid Monitoring'!L70=C4),IF(D4="All",TRUE(),'Bid Monitoring'!F70=D4),IF(E4="All",TRUE(),'Bid Monitoring'!E70=E4),IF(F4="All",TRUE(),'Bid Monitoring'!R70=F4)),'Bid Monitoring'!L70,"")</f>
        <v/>
      </c>
    </row>
    <row r="81" ht="19.5" customHeight="1" spans="1:10">
      <c r="A81" s="146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Monitoring'!B71,"")</f>
        <v/>
      </c>
      <c r="B81" s="147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Monitoring'!D71,"")</f>
        <v/>
      </c>
      <c r="C81" s="147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Monitoring'!C71,"")</f>
        <v/>
      </c>
      <c r="D81" s="146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Monitoring'!E71,"")</f>
        <v/>
      </c>
      <c r="E81" s="146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Monitoring'!F71,"")</f>
        <v/>
      </c>
      <c r="F81" s="148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Monitoring'!H71,"")</f>
        <v/>
      </c>
      <c r="G81" s="149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Monitoring'!I71,"")</f>
        <v/>
      </c>
      <c r="H81" s="150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Monitoring'!K71,"")</f>
        <v/>
      </c>
      <c r="I81" s="146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Monitoring'!N71,"")</f>
        <v/>
      </c>
      <c r="J81" s="146" t="str">
        <f ca="1">IF(AND('Bid Monitoring'!B71&lt;&gt;"",IF(B4="All",TRUE(),'Bid Monitoring'!N71=B4),IF(C4="All",TRUE(),'Bid Monitoring'!L71=C4),IF(D4="All",TRUE(),'Bid Monitoring'!F71=D4),IF(E4="All",TRUE(),'Bid Monitoring'!E71=E4),IF(F4="All",TRUE(),'Bid Monitoring'!R71=F4)),'Bid Monitoring'!L71,"")</f>
        <v/>
      </c>
    </row>
    <row r="82" ht="19.5" customHeight="1" spans="1:10">
      <c r="A82" s="151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Monitoring'!B72,"")</f>
        <v/>
      </c>
      <c r="B82" s="152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Monitoring'!D72,"")</f>
        <v/>
      </c>
      <c r="C82" s="152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Monitoring'!C72,"")</f>
        <v/>
      </c>
      <c r="D82" s="151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Monitoring'!E72,"")</f>
        <v/>
      </c>
      <c r="E82" s="151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Monitoring'!F72,"")</f>
        <v/>
      </c>
      <c r="F82" s="153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Monitoring'!H72,"")</f>
        <v/>
      </c>
      <c r="G82" s="154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Monitoring'!I72,"")</f>
        <v/>
      </c>
      <c r="H82" s="155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Monitoring'!K72,"")</f>
        <v/>
      </c>
      <c r="I82" s="151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Monitoring'!N72,"")</f>
        <v/>
      </c>
      <c r="J82" s="151" t="str">
        <f ca="1">IF(AND('Bid Monitoring'!B72&lt;&gt;"",IF(B4="All",TRUE(),'Bid Monitoring'!N72=B4),IF(C4="All",TRUE(),'Bid Monitoring'!L72=C4),IF(D4="All",TRUE(),'Bid Monitoring'!F72=D4),IF(E4="All",TRUE(),'Bid Monitoring'!E72=E4),IF(F4="All",TRUE(),'Bid Monitoring'!R72=F4)),'Bid Monitoring'!L72,"")</f>
        <v/>
      </c>
    </row>
    <row r="83" ht="19.5" customHeight="1" spans="1:10">
      <c r="A83" s="146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Monitoring'!B73,"")</f>
        <v/>
      </c>
      <c r="B83" s="147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Monitoring'!D73,"")</f>
        <v/>
      </c>
      <c r="C83" s="147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Monitoring'!C73,"")</f>
        <v/>
      </c>
      <c r="D83" s="146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Monitoring'!E73,"")</f>
        <v/>
      </c>
      <c r="E83" s="146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Monitoring'!F73,"")</f>
        <v/>
      </c>
      <c r="F83" s="148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Monitoring'!H73,"")</f>
        <v/>
      </c>
      <c r="G83" s="149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Monitoring'!I73,"")</f>
        <v/>
      </c>
      <c r="H83" s="150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Monitoring'!K73,"")</f>
        <v/>
      </c>
      <c r="I83" s="146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Monitoring'!N73,"")</f>
        <v/>
      </c>
      <c r="J83" s="146" t="str">
        <f ca="1">IF(AND('Bid Monitoring'!B73&lt;&gt;"",IF(B4="All",TRUE(),'Bid Monitoring'!N73=B4),IF(C4="All",TRUE(),'Bid Monitoring'!L73=C4),IF(D4="All",TRUE(),'Bid Monitoring'!F73=D4),IF(E4="All",TRUE(),'Bid Monitoring'!E73=E4),IF(F4="All",TRUE(),'Bid Monitoring'!R73=F4)),'Bid Monitoring'!L73,"")</f>
        <v/>
      </c>
    </row>
    <row r="84" ht="19.5" customHeight="1" spans="1:10">
      <c r="A84" s="151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Monitoring'!B74,"")</f>
        <v/>
      </c>
      <c r="B84" s="152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Monitoring'!D74,"")</f>
        <v/>
      </c>
      <c r="C84" s="152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Monitoring'!C74,"")</f>
        <v/>
      </c>
      <c r="D84" s="151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Monitoring'!E74,"")</f>
        <v/>
      </c>
      <c r="E84" s="151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Monitoring'!F74,"")</f>
        <v/>
      </c>
      <c r="F84" s="153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Monitoring'!H74,"")</f>
        <v/>
      </c>
      <c r="G84" s="154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Monitoring'!I74,"")</f>
        <v/>
      </c>
      <c r="H84" s="155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Monitoring'!K74,"")</f>
        <v/>
      </c>
      <c r="I84" s="151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Monitoring'!N74,"")</f>
        <v/>
      </c>
      <c r="J84" s="151" t="str">
        <f ca="1">IF(AND('Bid Monitoring'!B74&lt;&gt;"",IF(B4="All",TRUE(),'Bid Monitoring'!N74=B4),IF(C4="All",TRUE(),'Bid Monitoring'!L74=C4),IF(D4="All",TRUE(),'Bid Monitoring'!F74=D4),IF(E4="All",TRUE(),'Bid Monitoring'!E74=E4),IF(F4="All",TRUE(),'Bid Monitoring'!R74=F4)),'Bid Monitoring'!L74,"")</f>
        <v/>
      </c>
    </row>
    <row r="85" ht="19.5" customHeight="1" spans="1:10">
      <c r="A85" s="146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Monitoring'!B75,"")</f>
        <v/>
      </c>
      <c r="B85" s="147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Monitoring'!D75,"")</f>
        <v/>
      </c>
      <c r="C85" s="147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Monitoring'!C75,"")</f>
        <v/>
      </c>
      <c r="D85" s="146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Monitoring'!E75,"")</f>
        <v/>
      </c>
      <c r="E85" s="146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Monitoring'!F75,"")</f>
        <v/>
      </c>
      <c r="F85" s="148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Monitoring'!H75,"")</f>
        <v/>
      </c>
      <c r="G85" s="149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Monitoring'!I75,"")</f>
        <v/>
      </c>
      <c r="H85" s="150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Monitoring'!K75,"")</f>
        <v/>
      </c>
      <c r="I85" s="146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Monitoring'!N75,"")</f>
        <v/>
      </c>
      <c r="J85" s="146" t="str">
        <f ca="1">IF(AND('Bid Monitoring'!B75&lt;&gt;"",IF(B4="All",TRUE(),'Bid Monitoring'!N75=B4),IF(C4="All",TRUE(),'Bid Monitoring'!L75=C4),IF(D4="All",TRUE(),'Bid Monitoring'!F75=D4),IF(E4="All",TRUE(),'Bid Monitoring'!E75=E4),IF(F4="All",TRUE(),'Bid Monitoring'!R75=F4)),'Bid Monitoring'!L75,"")</f>
        <v/>
      </c>
    </row>
    <row r="86" ht="19.5" customHeight="1" spans="1:10">
      <c r="A86" s="151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Monitoring'!B76,"")</f>
        <v/>
      </c>
      <c r="B86" s="152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Monitoring'!D76,"")</f>
        <v/>
      </c>
      <c r="C86" s="152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Monitoring'!C76,"")</f>
        <v/>
      </c>
      <c r="D86" s="151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Monitoring'!E76,"")</f>
        <v/>
      </c>
      <c r="E86" s="151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Monitoring'!F76,"")</f>
        <v/>
      </c>
      <c r="F86" s="153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Monitoring'!H76,"")</f>
        <v/>
      </c>
      <c r="G86" s="154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Monitoring'!I76,"")</f>
        <v/>
      </c>
      <c r="H86" s="155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Monitoring'!K76,"")</f>
        <v/>
      </c>
      <c r="I86" s="151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Monitoring'!N76,"")</f>
        <v/>
      </c>
      <c r="J86" s="151" t="str">
        <f ca="1">IF(AND('Bid Monitoring'!B76&lt;&gt;"",IF(B4="All",TRUE(),'Bid Monitoring'!N76=B4),IF(C4="All",TRUE(),'Bid Monitoring'!L76=C4),IF(D4="All",TRUE(),'Bid Monitoring'!F76=D4),IF(E4="All",TRUE(),'Bid Monitoring'!E76=E4),IF(F4="All",TRUE(),'Bid Monitoring'!R76=F4)),'Bid Monitoring'!L76,"")</f>
        <v/>
      </c>
    </row>
    <row r="87" ht="19.5" customHeight="1" spans="1:10">
      <c r="A87" s="146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Monitoring'!B77,"")</f>
        <v/>
      </c>
      <c r="B87" s="147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Monitoring'!D77,"")</f>
        <v/>
      </c>
      <c r="C87" s="147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Monitoring'!C77,"")</f>
        <v/>
      </c>
      <c r="D87" s="146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Monitoring'!E77,"")</f>
        <v/>
      </c>
      <c r="E87" s="146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Monitoring'!F77,"")</f>
        <v/>
      </c>
      <c r="F87" s="148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Monitoring'!H77,"")</f>
        <v/>
      </c>
      <c r="G87" s="149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Monitoring'!I77,"")</f>
        <v/>
      </c>
      <c r="H87" s="150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Monitoring'!K77,"")</f>
        <v/>
      </c>
      <c r="I87" s="146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Monitoring'!N77,"")</f>
        <v/>
      </c>
      <c r="J87" s="146" t="str">
        <f ca="1">IF(AND('Bid Monitoring'!B77&lt;&gt;"",IF(B4="All",TRUE(),'Bid Monitoring'!N77=B4),IF(C4="All",TRUE(),'Bid Monitoring'!L77=C4),IF(D4="All",TRUE(),'Bid Monitoring'!F77=D4),IF(E4="All",TRUE(),'Bid Monitoring'!E77=E4),IF(F4="All",TRUE(),'Bid Monitoring'!R77=F4)),'Bid Monitoring'!L77,"")</f>
        <v/>
      </c>
    </row>
    <row r="88" ht="19.5" customHeight="1" spans="1:10">
      <c r="A88" s="151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Monitoring'!B78,"")</f>
        <v/>
      </c>
      <c r="B88" s="152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Monitoring'!D78,"")</f>
        <v/>
      </c>
      <c r="C88" s="152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Monitoring'!C78,"")</f>
        <v/>
      </c>
      <c r="D88" s="151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Monitoring'!E78,"")</f>
        <v/>
      </c>
      <c r="E88" s="151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Monitoring'!F78,"")</f>
        <v/>
      </c>
      <c r="F88" s="153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Monitoring'!H78,"")</f>
        <v/>
      </c>
      <c r="G88" s="154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Monitoring'!I78,"")</f>
        <v/>
      </c>
      <c r="H88" s="155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Monitoring'!K78,"")</f>
        <v/>
      </c>
      <c r="I88" s="151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Monitoring'!N78,"")</f>
        <v/>
      </c>
      <c r="J88" s="151" t="str">
        <f ca="1">IF(AND('Bid Monitoring'!B78&lt;&gt;"",IF(B4="All",TRUE(),'Bid Monitoring'!N78=B4),IF(C4="All",TRUE(),'Bid Monitoring'!L78=C4),IF(D4="All",TRUE(),'Bid Monitoring'!F78=D4),IF(E4="All",TRUE(),'Bid Monitoring'!E78=E4),IF(F4="All",TRUE(),'Bid Monitoring'!R78=F4)),'Bid Monitoring'!L78,"")</f>
        <v/>
      </c>
    </row>
    <row r="89" ht="19.5" customHeight="1" spans="1:10">
      <c r="A89" s="146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Monitoring'!B79,"")</f>
        <v/>
      </c>
      <c r="B89" s="147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Monitoring'!D79,"")</f>
        <v/>
      </c>
      <c r="C89" s="147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Monitoring'!C79,"")</f>
        <v/>
      </c>
      <c r="D89" s="146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Monitoring'!E79,"")</f>
        <v/>
      </c>
      <c r="E89" s="146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Monitoring'!F79,"")</f>
        <v/>
      </c>
      <c r="F89" s="148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Monitoring'!H79,"")</f>
        <v/>
      </c>
      <c r="G89" s="149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Monitoring'!I79,"")</f>
        <v/>
      </c>
      <c r="H89" s="150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Monitoring'!K79,"")</f>
        <v/>
      </c>
      <c r="I89" s="146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Monitoring'!N79,"")</f>
        <v/>
      </c>
      <c r="J89" s="146" t="str">
        <f ca="1">IF(AND('Bid Monitoring'!B79&lt;&gt;"",IF(B4="All",TRUE(),'Bid Monitoring'!N79=B4),IF(C4="All",TRUE(),'Bid Monitoring'!L79=C4),IF(D4="All",TRUE(),'Bid Monitoring'!F79=D4),IF(E4="All",TRUE(),'Bid Monitoring'!E79=E4),IF(F4="All",TRUE(),'Bid Monitoring'!R79=F4)),'Bid Monitoring'!L79,"")</f>
        <v/>
      </c>
    </row>
    <row r="90" ht="19.5" customHeight="1" spans="1:10">
      <c r="A90" s="151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Monitoring'!B80,"")</f>
        <v/>
      </c>
      <c r="B90" s="152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Monitoring'!D80,"")</f>
        <v/>
      </c>
      <c r="C90" s="152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Monitoring'!C80,"")</f>
        <v/>
      </c>
      <c r="D90" s="151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Monitoring'!E80,"")</f>
        <v/>
      </c>
      <c r="E90" s="151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Monitoring'!F80,"")</f>
        <v/>
      </c>
      <c r="F90" s="153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Monitoring'!H80,"")</f>
        <v/>
      </c>
      <c r="G90" s="154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Monitoring'!I80,"")</f>
        <v/>
      </c>
      <c r="H90" s="155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Monitoring'!K80,"")</f>
        <v/>
      </c>
      <c r="I90" s="151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Monitoring'!N80,"")</f>
        <v/>
      </c>
      <c r="J90" s="151" t="str">
        <f ca="1">IF(AND('Bid Monitoring'!B80&lt;&gt;"",IF(B4="All",TRUE(),'Bid Monitoring'!N80=B4),IF(C4="All",TRUE(),'Bid Monitoring'!L80=C4),IF(D4="All",TRUE(),'Bid Monitoring'!F80=D4),IF(E4="All",TRUE(),'Bid Monitoring'!E80=E4),IF(F4="All",TRUE(),'Bid Monitoring'!R80=F4)),'Bid Monitoring'!L80,"")</f>
        <v/>
      </c>
    </row>
    <row r="91" ht="19.5" customHeight="1" spans="1:10">
      <c r="A91" s="146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Monitoring'!B81,"")</f>
        <v/>
      </c>
      <c r="B91" s="147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Monitoring'!D81,"")</f>
        <v/>
      </c>
      <c r="C91" s="147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Monitoring'!C81,"")</f>
        <v/>
      </c>
      <c r="D91" s="146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Monitoring'!E81,"")</f>
        <v/>
      </c>
      <c r="E91" s="146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Monitoring'!F81,"")</f>
        <v/>
      </c>
      <c r="F91" s="148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Monitoring'!H81,"")</f>
        <v/>
      </c>
      <c r="G91" s="149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Monitoring'!I81,"")</f>
        <v/>
      </c>
      <c r="H91" s="150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Monitoring'!K81,"")</f>
        <v/>
      </c>
      <c r="I91" s="146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Monitoring'!N81,"")</f>
        <v/>
      </c>
      <c r="J91" s="146" t="str">
        <f ca="1">IF(AND('Bid Monitoring'!B81&lt;&gt;"",IF(B4="All",TRUE(),'Bid Monitoring'!N81=B4),IF(C4="All",TRUE(),'Bid Monitoring'!L81=C4),IF(D4="All",TRUE(),'Bid Monitoring'!F81=D4),IF(E4="All",TRUE(),'Bid Monitoring'!E81=E4),IF(F4="All",TRUE(),'Bid Monitoring'!R81=F4)),'Bid Monitoring'!L81,"")</f>
        <v/>
      </c>
    </row>
    <row r="92" ht="19.5" customHeight="1" spans="1:10">
      <c r="A92" s="151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Monitoring'!B82,"")</f>
        <v/>
      </c>
      <c r="B92" s="152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Monitoring'!D82,"")</f>
        <v/>
      </c>
      <c r="C92" s="152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Monitoring'!C82,"")</f>
        <v/>
      </c>
      <c r="D92" s="151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Monitoring'!E82,"")</f>
        <v/>
      </c>
      <c r="E92" s="151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Monitoring'!F82,"")</f>
        <v/>
      </c>
      <c r="F92" s="153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Monitoring'!H82,"")</f>
        <v/>
      </c>
      <c r="G92" s="154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Monitoring'!I82,"")</f>
        <v/>
      </c>
      <c r="H92" s="155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Monitoring'!K82,"")</f>
        <v/>
      </c>
      <c r="I92" s="151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Monitoring'!N82,"")</f>
        <v/>
      </c>
      <c r="J92" s="151" t="str">
        <f ca="1">IF(AND('Bid Monitoring'!B82&lt;&gt;"",IF(B4="All",TRUE(),'Bid Monitoring'!N82=B4),IF(C4="All",TRUE(),'Bid Monitoring'!L82=C4),IF(D4="All",TRUE(),'Bid Monitoring'!F82=D4),IF(E4="All",TRUE(),'Bid Monitoring'!E82=E4),IF(F4="All",TRUE(),'Bid Monitoring'!R82=F4)),'Bid Monitoring'!L82,"")</f>
        <v/>
      </c>
    </row>
    <row r="93" ht="19.5" customHeight="1" spans="1:10">
      <c r="A93" s="146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Monitoring'!B83,"")</f>
        <v/>
      </c>
      <c r="B93" s="147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Monitoring'!D83,"")</f>
        <v/>
      </c>
      <c r="C93" s="147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Monitoring'!C83,"")</f>
        <v/>
      </c>
      <c r="D93" s="146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Monitoring'!E83,"")</f>
        <v/>
      </c>
      <c r="E93" s="146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Monitoring'!F83,"")</f>
        <v/>
      </c>
      <c r="F93" s="148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Monitoring'!H83,"")</f>
        <v/>
      </c>
      <c r="G93" s="149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Monitoring'!I83,"")</f>
        <v/>
      </c>
      <c r="H93" s="150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Monitoring'!K83,"")</f>
        <v/>
      </c>
      <c r="I93" s="146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Monitoring'!N83,"")</f>
        <v/>
      </c>
      <c r="J93" s="146" t="str">
        <f ca="1">IF(AND('Bid Monitoring'!B83&lt;&gt;"",IF(B4="All",TRUE(),'Bid Monitoring'!N83=B4),IF(C4="All",TRUE(),'Bid Monitoring'!L83=C4),IF(D4="All",TRUE(),'Bid Monitoring'!F83=D4),IF(E4="All",TRUE(),'Bid Monitoring'!E83=E4),IF(F4="All",TRUE(),'Bid Monitoring'!R83=F4)),'Bid Monitoring'!L83,"")</f>
        <v/>
      </c>
    </row>
    <row r="94" ht="19.5" customHeight="1" spans="1:10">
      <c r="A94" s="151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Monitoring'!B84,"")</f>
        <v/>
      </c>
      <c r="B94" s="152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Monitoring'!D84,"")</f>
        <v/>
      </c>
      <c r="C94" s="152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Monitoring'!C84,"")</f>
        <v/>
      </c>
      <c r="D94" s="151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Monitoring'!E84,"")</f>
        <v/>
      </c>
      <c r="E94" s="151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Monitoring'!F84,"")</f>
        <v/>
      </c>
      <c r="F94" s="153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Monitoring'!H84,"")</f>
        <v/>
      </c>
      <c r="G94" s="154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Monitoring'!I84,"")</f>
        <v/>
      </c>
      <c r="H94" s="155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Monitoring'!K84,"")</f>
        <v/>
      </c>
      <c r="I94" s="151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Monitoring'!N84,"")</f>
        <v/>
      </c>
      <c r="J94" s="151" t="str">
        <f ca="1">IF(AND('Bid Monitoring'!B84&lt;&gt;"",IF(B4="All",TRUE(),'Bid Monitoring'!N84=B4),IF(C4="All",TRUE(),'Bid Monitoring'!L84=C4),IF(D4="All",TRUE(),'Bid Monitoring'!F84=D4),IF(E4="All",TRUE(),'Bid Monitoring'!E84=E4),IF(F4="All",TRUE(),'Bid Monitoring'!R84=F4)),'Bid Monitoring'!L84,"")</f>
        <v/>
      </c>
    </row>
    <row r="95" ht="19.5" customHeight="1" spans="1:10">
      <c r="A95" s="146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Monitoring'!B85,"")</f>
        <v/>
      </c>
      <c r="B95" s="147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Monitoring'!D85,"")</f>
        <v/>
      </c>
      <c r="C95" s="147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Monitoring'!C85,"")</f>
        <v/>
      </c>
      <c r="D95" s="146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Monitoring'!E85,"")</f>
        <v/>
      </c>
      <c r="E95" s="146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Monitoring'!F85,"")</f>
        <v/>
      </c>
      <c r="F95" s="148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Monitoring'!H85,"")</f>
        <v/>
      </c>
      <c r="G95" s="149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Monitoring'!I85,"")</f>
        <v/>
      </c>
      <c r="H95" s="150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Monitoring'!K85,"")</f>
        <v/>
      </c>
      <c r="I95" s="146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Monitoring'!N85,"")</f>
        <v/>
      </c>
      <c r="J95" s="146" t="str">
        <f ca="1">IF(AND('Bid Monitoring'!B85&lt;&gt;"",IF(B4="All",TRUE(),'Bid Monitoring'!N85=B4),IF(C4="All",TRUE(),'Bid Monitoring'!L85=C4),IF(D4="All",TRUE(),'Bid Monitoring'!F85=D4),IF(E4="All",TRUE(),'Bid Monitoring'!E85=E4),IF(F4="All",TRUE(),'Bid Monitoring'!R85=F4)),'Bid Monitoring'!L85,"")</f>
        <v/>
      </c>
    </row>
    <row r="96" ht="19.5" customHeight="1" spans="1:10">
      <c r="A96" s="151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Monitoring'!B86,"")</f>
        <v/>
      </c>
      <c r="B96" s="152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Monitoring'!D86,"")</f>
        <v/>
      </c>
      <c r="C96" s="152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Monitoring'!C86,"")</f>
        <v/>
      </c>
      <c r="D96" s="151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Monitoring'!E86,"")</f>
        <v/>
      </c>
      <c r="E96" s="151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Monitoring'!F86,"")</f>
        <v/>
      </c>
      <c r="F96" s="153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Monitoring'!H86,"")</f>
        <v/>
      </c>
      <c r="G96" s="154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Monitoring'!I86,"")</f>
        <v/>
      </c>
      <c r="H96" s="155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Monitoring'!K86,"")</f>
        <v/>
      </c>
      <c r="I96" s="151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Monitoring'!N86,"")</f>
        <v/>
      </c>
      <c r="J96" s="151" t="str">
        <f ca="1">IF(AND('Bid Monitoring'!B86&lt;&gt;"",IF(B4="All",TRUE(),'Bid Monitoring'!N86=B4),IF(C4="All",TRUE(),'Bid Monitoring'!L86=C4),IF(D4="All",TRUE(),'Bid Monitoring'!F86=D4),IF(E4="All",TRUE(),'Bid Monitoring'!E86=E4),IF(F4="All",TRUE(),'Bid Monitoring'!R86=F4)),'Bid Monitoring'!L86,"")</f>
        <v/>
      </c>
    </row>
    <row r="97" ht="19.5" customHeight="1" spans="1:10">
      <c r="A97" s="146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Monitoring'!B87,"")</f>
        <v/>
      </c>
      <c r="B97" s="147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Monitoring'!D87,"")</f>
        <v/>
      </c>
      <c r="C97" s="147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Monitoring'!C87,"")</f>
        <v/>
      </c>
      <c r="D97" s="146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Monitoring'!E87,"")</f>
        <v/>
      </c>
      <c r="E97" s="146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Monitoring'!F87,"")</f>
        <v/>
      </c>
      <c r="F97" s="148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Monitoring'!H87,"")</f>
        <v/>
      </c>
      <c r="G97" s="149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Monitoring'!I87,"")</f>
        <v/>
      </c>
      <c r="H97" s="150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Monitoring'!K87,"")</f>
        <v/>
      </c>
      <c r="I97" s="146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Monitoring'!N87,"")</f>
        <v/>
      </c>
      <c r="J97" s="146" t="str">
        <f ca="1">IF(AND('Bid Monitoring'!B87&lt;&gt;"",IF(B4="All",TRUE(),'Bid Monitoring'!N87=B4),IF(C4="All",TRUE(),'Bid Monitoring'!L87=C4),IF(D4="All",TRUE(),'Bid Monitoring'!F87=D4),IF(E4="All",TRUE(),'Bid Monitoring'!E87=E4),IF(F4="All",TRUE(),'Bid Monitoring'!R87=F4)),'Bid Monitoring'!L87,"")</f>
        <v/>
      </c>
    </row>
    <row r="98" ht="19.5" customHeight="1" spans="1:10">
      <c r="A98" s="151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Monitoring'!B88,"")</f>
        <v/>
      </c>
      <c r="B98" s="152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Monitoring'!D88,"")</f>
        <v/>
      </c>
      <c r="C98" s="152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Monitoring'!C88,"")</f>
        <v/>
      </c>
      <c r="D98" s="151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Monitoring'!E88,"")</f>
        <v/>
      </c>
      <c r="E98" s="151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Monitoring'!F88,"")</f>
        <v/>
      </c>
      <c r="F98" s="153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Monitoring'!H88,"")</f>
        <v/>
      </c>
      <c r="G98" s="154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Monitoring'!I88,"")</f>
        <v/>
      </c>
      <c r="H98" s="155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Monitoring'!K88,"")</f>
        <v/>
      </c>
      <c r="I98" s="151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Monitoring'!N88,"")</f>
        <v/>
      </c>
      <c r="J98" s="151" t="str">
        <f ca="1">IF(AND('Bid Monitoring'!B88&lt;&gt;"",IF(B4="All",TRUE(),'Bid Monitoring'!N88=B4),IF(C4="All",TRUE(),'Bid Monitoring'!L88=C4),IF(D4="All",TRUE(),'Bid Monitoring'!F88=D4),IF(E4="All",TRUE(),'Bid Monitoring'!E88=E4),IF(F4="All",TRUE(),'Bid Monitoring'!R88=F4)),'Bid Monitoring'!L88,"")</f>
        <v/>
      </c>
    </row>
    <row r="99" ht="19.5" customHeight="1" spans="1:10">
      <c r="A99" s="146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Monitoring'!B89,"")</f>
        <v/>
      </c>
      <c r="B99" s="147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Monitoring'!D89,"")</f>
        <v/>
      </c>
      <c r="C99" s="147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Monitoring'!C89,"")</f>
        <v/>
      </c>
      <c r="D99" s="146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Monitoring'!E89,"")</f>
        <v/>
      </c>
      <c r="E99" s="146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Monitoring'!F89,"")</f>
        <v/>
      </c>
      <c r="F99" s="148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Monitoring'!H89,"")</f>
        <v/>
      </c>
      <c r="G99" s="149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Monitoring'!I89,"")</f>
        <v/>
      </c>
      <c r="H99" s="150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Monitoring'!K89,"")</f>
        <v/>
      </c>
      <c r="I99" s="146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Monitoring'!N89,"")</f>
        <v/>
      </c>
      <c r="J99" s="146" t="str">
        <f ca="1">IF(AND('Bid Monitoring'!B89&lt;&gt;"",IF(B4="All",TRUE(),'Bid Monitoring'!N89=B4),IF(C4="All",TRUE(),'Bid Monitoring'!L89=C4),IF(D4="All",TRUE(),'Bid Monitoring'!F89=D4),IF(E4="All",TRUE(),'Bid Monitoring'!E89=E4),IF(F4="All",TRUE(),'Bid Monitoring'!R89=F4)),'Bid Monitoring'!L89,"")</f>
        <v/>
      </c>
    </row>
    <row r="100" ht="19.5" customHeight="1" spans="1:10">
      <c r="A100" s="151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Monitoring'!B90,"")</f>
        <v/>
      </c>
      <c r="B100" s="152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Monitoring'!D90,"")</f>
        <v/>
      </c>
      <c r="C100" s="152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Monitoring'!C90,"")</f>
        <v/>
      </c>
      <c r="D100" s="151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Monitoring'!E90,"")</f>
        <v/>
      </c>
      <c r="E100" s="151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Monitoring'!F90,"")</f>
        <v/>
      </c>
      <c r="F100" s="153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Monitoring'!H90,"")</f>
        <v/>
      </c>
      <c r="G100" s="154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Monitoring'!I90,"")</f>
        <v/>
      </c>
      <c r="H100" s="155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Monitoring'!K90,"")</f>
        <v/>
      </c>
      <c r="I100" s="151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Monitoring'!N90,"")</f>
        <v/>
      </c>
      <c r="J100" s="151" t="str">
        <f ca="1">IF(AND('Bid Monitoring'!B90&lt;&gt;"",IF(B4="All",TRUE(),'Bid Monitoring'!N90=B4),IF(C4="All",TRUE(),'Bid Monitoring'!L90=C4),IF(D4="All",TRUE(),'Bid Monitoring'!F90=D4),IF(E4="All",TRUE(),'Bid Monitoring'!E90=E4),IF(F4="All",TRUE(),'Bid Monitoring'!R90=F4)),'Bid Monitoring'!L90,"")</f>
        <v/>
      </c>
    </row>
    <row r="101" ht="19.5" customHeight="1" spans="1:10">
      <c r="A101" s="146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Monitoring'!B91,"")</f>
        <v/>
      </c>
      <c r="B101" s="147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Monitoring'!D91,"")</f>
        <v/>
      </c>
      <c r="C101" s="147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Monitoring'!C91,"")</f>
        <v/>
      </c>
      <c r="D101" s="146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Monitoring'!E91,"")</f>
        <v/>
      </c>
      <c r="E101" s="146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Monitoring'!F91,"")</f>
        <v/>
      </c>
      <c r="F101" s="148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Monitoring'!H91,"")</f>
        <v/>
      </c>
      <c r="G101" s="149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Monitoring'!I91,"")</f>
        <v/>
      </c>
      <c r="H101" s="150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Monitoring'!K91,"")</f>
        <v/>
      </c>
      <c r="I101" s="146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Monitoring'!N91,"")</f>
        <v/>
      </c>
      <c r="J101" s="146" t="str">
        <f ca="1">IF(AND('Bid Monitoring'!B91&lt;&gt;"",IF(B4="All",TRUE(),'Bid Monitoring'!N91=B4),IF(C4="All",TRUE(),'Bid Monitoring'!L91=C4),IF(D4="All",TRUE(),'Bid Monitoring'!F91=D4),IF(E4="All",TRUE(),'Bid Monitoring'!E91=E4),IF(F4="All",TRUE(),'Bid Monitoring'!R91=F4)),'Bid Monitoring'!L91,"")</f>
        <v/>
      </c>
    </row>
    <row r="102" ht="19.5" customHeight="1" spans="1:10">
      <c r="A102" s="151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Monitoring'!B92,"")</f>
        <v/>
      </c>
      <c r="B102" s="152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Monitoring'!D92,"")</f>
        <v/>
      </c>
      <c r="C102" s="152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Monitoring'!C92,"")</f>
        <v/>
      </c>
      <c r="D102" s="151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Monitoring'!E92,"")</f>
        <v/>
      </c>
      <c r="E102" s="151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Monitoring'!F92,"")</f>
        <v/>
      </c>
      <c r="F102" s="153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Monitoring'!H92,"")</f>
        <v/>
      </c>
      <c r="G102" s="154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Monitoring'!I92,"")</f>
        <v/>
      </c>
      <c r="H102" s="155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Monitoring'!K92,"")</f>
        <v/>
      </c>
      <c r="I102" s="151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Monitoring'!N92,"")</f>
        <v/>
      </c>
      <c r="J102" s="151" t="str">
        <f ca="1">IF(AND('Bid Monitoring'!B92&lt;&gt;"",IF(B4="All",TRUE(),'Bid Monitoring'!N92=B4),IF(C4="All",TRUE(),'Bid Monitoring'!L92=C4),IF(D4="All",TRUE(),'Bid Monitoring'!F92=D4),IF(E4="All",TRUE(),'Bid Monitoring'!E92=E4),IF(F4="All",TRUE(),'Bid Monitoring'!R92=F4)),'Bid Monitoring'!L92,"")</f>
        <v/>
      </c>
    </row>
    <row r="103" ht="19.5" customHeight="1" spans="1:10">
      <c r="A103" s="146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Monitoring'!B93,"")</f>
        <v/>
      </c>
      <c r="B103" s="147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Monitoring'!D93,"")</f>
        <v/>
      </c>
      <c r="C103" s="147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Monitoring'!C93,"")</f>
        <v/>
      </c>
      <c r="D103" s="146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Monitoring'!E93,"")</f>
        <v/>
      </c>
      <c r="E103" s="146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Monitoring'!F93,"")</f>
        <v/>
      </c>
      <c r="F103" s="148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Monitoring'!H93,"")</f>
        <v/>
      </c>
      <c r="G103" s="149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Monitoring'!I93,"")</f>
        <v/>
      </c>
      <c r="H103" s="150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Monitoring'!K93,"")</f>
        <v/>
      </c>
      <c r="I103" s="146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Monitoring'!N93,"")</f>
        <v/>
      </c>
      <c r="J103" s="146" t="str">
        <f ca="1">IF(AND('Bid Monitoring'!B93&lt;&gt;"",IF(B4="All",TRUE(),'Bid Monitoring'!N93=B4),IF(C4="All",TRUE(),'Bid Monitoring'!L93=C4),IF(D4="All",TRUE(),'Bid Monitoring'!F93=D4),IF(E4="All",TRUE(),'Bid Monitoring'!E93=E4),IF(F4="All",TRUE(),'Bid Monitoring'!R93=F4)),'Bid Monitoring'!L93,"")</f>
        <v/>
      </c>
    </row>
    <row r="104" ht="19.5" customHeight="1" spans="1:10">
      <c r="A104" s="151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Monitoring'!B94,"")</f>
        <v/>
      </c>
      <c r="B104" s="152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Monitoring'!D94,"")</f>
        <v/>
      </c>
      <c r="C104" s="152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Monitoring'!C94,"")</f>
        <v/>
      </c>
      <c r="D104" s="151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Monitoring'!E94,"")</f>
        <v/>
      </c>
      <c r="E104" s="151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Monitoring'!F94,"")</f>
        <v/>
      </c>
      <c r="F104" s="153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Monitoring'!H94,"")</f>
        <v/>
      </c>
      <c r="G104" s="154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Monitoring'!I94,"")</f>
        <v/>
      </c>
      <c r="H104" s="155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Monitoring'!K94,"")</f>
        <v/>
      </c>
      <c r="I104" s="151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Monitoring'!N94,"")</f>
        <v/>
      </c>
      <c r="J104" s="151" t="str">
        <f ca="1">IF(AND('Bid Monitoring'!B94&lt;&gt;"",IF(B4="All",TRUE(),'Bid Monitoring'!N94=B4),IF(C4="All",TRUE(),'Bid Monitoring'!L94=C4),IF(D4="All",TRUE(),'Bid Monitoring'!F94=D4),IF(E4="All",TRUE(),'Bid Monitoring'!E94=E4),IF(F4="All",TRUE(),'Bid Monitoring'!R94=F4)),'Bid Monitoring'!L94,"")</f>
        <v/>
      </c>
    </row>
    <row r="105" ht="19.5" customHeight="1" spans="1:10">
      <c r="A105" s="146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Monitoring'!B95,"")</f>
        <v/>
      </c>
      <c r="B105" s="147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Monitoring'!D95,"")</f>
        <v/>
      </c>
      <c r="C105" s="147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Monitoring'!C95,"")</f>
        <v/>
      </c>
      <c r="D105" s="146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Monitoring'!E95,"")</f>
        <v/>
      </c>
      <c r="E105" s="146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Monitoring'!F95,"")</f>
        <v/>
      </c>
      <c r="F105" s="148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Monitoring'!H95,"")</f>
        <v/>
      </c>
      <c r="G105" s="149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Monitoring'!I95,"")</f>
        <v/>
      </c>
      <c r="H105" s="150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Monitoring'!K95,"")</f>
        <v/>
      </c>
      <c r="I105" s="146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Monitoring'!N95,"")</f>
        <v/>
      </c>
      <c r="J105" s="146" t="str">
        <f ca="1">IF(AND('Bid Monitoring'!B95&lt;&gt;"",IF(B4="All",TRUE(),'Bid Monitoring'!N95=B4),IF(C4="All",TRUE(),'Bid Monitoring'!L95=C4),IF(D4="All",TRUE(),'Bid Monitoring'!F95=D4),IF(E4="All",TRUE(),'Bid Monitoring'!E95=E4),IF(F4="All",TRUE(),'Bid Monitoring'!R95=F4)),'Bid Monitoring'!L95,"")</f>
        <v/>
      </c>
    </row>
    <row r="106" ht="19.5" customHeight="1" spans="1:10">
      <c r="A106" s="151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Monitoring'!B96,"")</f>
        <v/>
      </c>
      <c r="B106" s="152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Monitoring'!D96,"")</f>
        <v/>
      </c>
      <c r="C106" s="152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Monitoring'!C96,"")</f>
        <v/>
      </c>
      <c r="D106" s="151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Monitoring'!E96,"")</f>
        <v/>
      </c>
      <c r="E106" s="151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Monitoring'!F96,"")</f>
        <v/>
      </c>
      <c r="F106" s="153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Monitoring'!H96,"")</f>
        <v/>
      </c>
      <c r="G106" s="154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Monitoring'!I96,"")</f>
        <v/>
      </c>
      <c r="H106" s="155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Monitoring'!K96,"")</f>
        <v/>
      </c>
      <c r="I106" s="151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Monitoring'!N96,"")</f>
        <v/>
      </c>
      <c r="J106" s="151" t="str">
        <f ca="1">IF(AND('Bid Monitoring'!B96&lt;&gt;"",IF(B4="All",TRUE(),'Bid Monitoring'!N96=B4),IF(C4="All",TRUE(),'Bid Monitoring'!L96=C4),IF(D4="All",TRUE(),'Bid Monitoring'!F96=D4),IF(E4="All",TRUE(),'Bid Monitoring'!E96=E4),IF(F4="All",TRUE(),'Bid Monitoring'!R96=F4)),'Bid Monitoring'!L96,"")</f>
        <v/>
      </c>
    </row>
    <row r="107" ht="19.5" customHeight="1" spans="1:10">
      <c r="A107" s="146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Monitoring'!B97,"")</f>
        <v/>
      </c>
      <c r="B107" s="147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Monitoring'!D97,"")</f>
        <v/>
      </c>
      <c r="C107" s="147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Monitoring'!C97,"")</f>
        <v/>
      </c>
      <c r="D107" s="146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Monitoring'!E97,"")</f>
        <v/>
      </c>
      <c r="E107" s="146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Monitoring'!F97,"")</f>
        <v/>
      </c>
      <c r="F107" s="148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Monitoring'!H97,"")</f>
        <v/>
      </c>
      <c r="G107" s="149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Monitoring'!I97,"")</f>
        <v/>
      </c>
      <c r="H107" s="150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Monitoring'!K97,"")</f>
        <v/>
      </c>
      <c r="I107" s="146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Monitoring'!N97,"")</f>
        <v/>
      </c>
      <c r="J107" s="146" t="str">
        <f ca="1">IF(AND('Bid Monitoring'!B97&lt;&gt;"",IF(B4="All",TRUE(),'Bid Monitoring'!N97=B4),IF(C4="All",TRUE(),'Bid Monitoring'!L97=C4),IF(D4="All",TRUE(),'Bid Monitoring'!F97=D4),IF(E4="All",TRUE(),'Bid Monitoring'!E97=E4),IF(F4="All",TRUE(),'Bid Monitoring'!R97=F4)),'Bid Monitoring'!L97,"")</f>
        <v/>
      </c>
    </row>
    <row r="108" ht="19.5" customHeight="1" spans="1:10">
      <c r="A108" s="151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Monitoring'!B98,"")</f>
        <v/>
      </c>
      <c r="B108" s="152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Monitoring'!D98,"")</f>
        <v/>
      </c>
      <c r="C108" s="152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Monitoring'!C98,"")</f>
        <v/>
      </c>
      <c r="D108" s="151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Monitoring'!E98,"")</f>
        <v/>
      </c>
      <c r="E108" s="151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Monitoring'!F98,"")</f>
        <v/>
      </c>
      <c r="F108" s="153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Monitoring'!H98,"")</f>
        <v/>
      </c>
      <c r="G108" s="154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Monitoring'!I98,"")</f>
        <v/>
      </c>
      <c r="H108" s="155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Monitoring'!K98,"")</f>
        <v/>
      </c>
      <c r="I108" s="151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Monitoring'!N98,"")</f>
        <v/>
      </c>
      <c r="J108" s="151" t="str">
        <f ca="1">IF(AND('Bid Monitoring'!B98&lt;&gt;"",IF(B4="All",TRUE(),'Bid Monitoring'!N98=B4),IF(C4="All",TRUE(),'Bid Monitoring'!L98=C4),IF(D4="All",TRUE(),'Bid Monitoring'!F98=D4),IF(E4="All",TRUE(),'Bid Monitoring'!E98=E4),IF(F4="All",TRUE(),'Bid Monitoring'!R98=F4)),'Bid Monitoring'!L98,"")</f>
        <v/>
      </c>
    </row>
    <row r="109" ht="19.5" customHeight="1" spans="1:10">
      <c r="A109" s="146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Monitoring'!B99,"")</f>
        <v/>
      </c>
      <c r="B109" s="147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Monitoring'!D99,"")</f>
        <v/>
      </c>
      <c r="C109" s="147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Monitoring'!C99,"")</f>
        <v/>
      </c>
      <c r="D109" s="146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Monitoring'!E99,"")</f>
        <v/>
      </c>
      <c r="E109" s="146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Monitoring'!F99,"")</f>
        <v/>
      </c>
      <c r="F109" s="148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Monitoring'!H99,"")</f>
        <v/>
      </c>
      <c r="G109" s="149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Monitoring'!I99,"")</f>
        <v/>
      </c>
      <c r="H109" s="150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Monitoring'!K99,"")</f>
        <v/>
      </c>
      <c r="I109" s="146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Monitoring'!N99,"")</f>
        <v/>
      </c>
      <c r="J109" s="146" t="str">
        <f ca="1">IF(AND('Bid Monitoring'!B99&lt;&gt;"",IF(B4="All",TRUE(),'Bid Monitoring'!N99=B4),IF(C4="All",TRUE(),'Bid Monitoring'!L99=C4),IF(D4="All",TRUE(),'Bid Monitoring'!F99=D4),IF(E4="All",TRUE(),'Bid Monitoring'!E99=E4),IF(F4="All",TRUE(),'Bid Monitoring'!R99=F4)),'Bid Monitoring'!L99,"")</f>
        <v/>
      </c>
    </row>
    <row r="110" ht="19.5" customHeight="1" spans="1:10">
      <c r="A110" s="151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Monitoring'!B100,"")</f>
        <v/>
      </c>
      <c r="B110" s="152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Monitoring'!D100,"")</f>
        <v/>
      </c>
      <c r="C110" s="152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Monitoring'!C100,"")</f>
        <v/>
      </c>
      <c r="D110" s="151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Monitoring'!E100,"")</f>
        <v/>
      </c>
      <c r="E110" s="151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Monitoring'!F100,"")</f>
        <v/>
      </c>
      <c r="F110" s="153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Monitoring'!H100,"")</f>
        <v/>
      </c>
      <c r="G110" s="154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Monitoring'!I100,"")</f>
        <v/>
      </c>
      <c r="H110" s="155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Monitoring'!K100,"")</f>
        <v/>
      </c>
      <c r="I110" s="151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Monitoring'!N100,"")</f>
        <v/>
      </c>
      <c r="J110" s="151" t="str">
        <f ca="1">IF(AND('Bid Monitoring'!B100&lt;&gt;"",IF(B4="All",TRUE(),'Bid Monitoring'!N100=B4),IF(C4="All",TRUE(),'Bid Monitoring'!L100=C4),IF(D4="All",TRUE(),'Bid Monitoring'!F100=D4),IF(E4="All",TRUE(),'Bid Monitoring'!E100=E4),IF(F4="All",TRUE(),'Bid Monitoring'!R100=F4)),'Bid Monitoring'!L100,"")</f>
        <v/>
      </c>
    </row>
    <row r="111" ht="19.5" customHeight="1" spans="1:10">
      <c r="A111" s="146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Monitoring'!B101,"")</f>
        <v/>
      </c>
      <c r="B111" s="147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Monitoring'!D101,"")</f>
        <v/>
      </c>
      <c r="C111" s="147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Monitoring'!C101,"")</f>
        <v/>
      </c>
      <c r="D111" s="146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Monitoring'!E101,"")</f>
        <v/>
      </c>
      <c r="E111" s="146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Monitoring'!F101,"")</f>
        <v/>
      </c>
      <c r="F111" s="148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Monitoring'!H101,"")</f>
        <v/>
      </c>
      <c r="G111" s="149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Monitoring'!I101,"")</f>
        <v/>
      </c>
      <c r="H111" s="150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Monitoring'!K101,"")</f>
        <v/>
      </c>
      <c r="I111" s="146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Monitoring'!N101,"")</f>
        <v/>
      </c>
      <c r="J111" s="146" t="str">
        <f ca="1">IF(AND('Bid Monitoring'!B101&lt;&gt;"",IF(B4="All",TRUE(),'Bid Monitoring'!N101=B4),IF(C4="All",TRUE(),'Bid Monitoring'!L101=C4),IF(D4="All",TRUE(),'Bid Monitoring'!F101=D4),IF(E4="All",TRUE(),'Bid Monitoring'!E101=E4),IF(F4="All",TRUE(),'Bid Monitoring'!R101=F4)),'Bid Monitoring'!L101,"")</f>
        <v/>
      </c>
    </row>
    <row r="112" ht="19.5" customHeight="1" spans="1:10">
      <c r="A112" s="151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Monitoring'!B102,"")</f>
        <v/>
      </c>
      <c r="B112" s="152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Monitoring'!D102,"")</f>
        <v/>
      </c>
      <c r="C112" s="152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Monitoring'!C102,"")</f>
        <v/>
      </c>
      <c r="D112" s="151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Monitoring'!E102,"")</f>
        <v/>
      </c>
      <c r="E112" s="151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Monitoring'!F102,"")</f>
        <v/>
      </c>
      <c r="F112" s="153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Monitoring'!H102,"")</f>
        <v/>
      </c>
      <c r="G112" s="154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Monitoring'!I102,"")</f>
        <v/>
      </c>
      <c r="H112" s="155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Monitoring'!K102,"")</f>
        <v/>
      </c>
      <c r="I112" s="151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Monitoring'!N102,"")</f>
        <v/>
      </c>
      <c r="J112" s="151" t="str">
        <f ca="1">IF(AND('Bid Monitoring'!B102&lt;&gt;"",IF(B4="All",TRUE(),'Bid Monitoring'!N102=B4),IF(C4="All",TRUE(),'Bid Monitoring'!L102=C4),IF(D4="All",TRUE(),'Bid Monitoring'!F102=D4),IF(E4="All",TRUE(),'Bid Monitoring'!E102=E4),IF(F4="All",TRUE(),'Bid Monitoring'!R102=F4)),'Bid Monitoring'!L102,"")</f>
        <v/>
      </c>
    </row>
  </sheetData>
  <mergeCells count="19">
    <mergeCell ref="A1:J1"/>
    <mergeCell ref="A2:J2"/>
    <mergeCell ref="A6:J6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1:J11"/>
  </mergeCells>
  <conditionalFormatting sqref="A13:J112">
    <cfRule type="expression" dxfId="21" priority="2">
      <formula>$I13="Awarded"</formula>
    </cfRule>
    <cfRule type="expression" dxfId="22" priority="3">
      <formula>$I13="Submitted"</formula>
    </cfRule>
    <cfRule type="expression" dxfId="23" priority="4">
      <formula>$I13="Submitting"</formula>
    </cfRule>
    <cfRule type="expression" dxfId="24" priority="5">
      <formula>$I13="Lost"</formula>
    </cfRule>
    <cfRule type="expression" dxfId="25" priority="6">
      <formula>$I13="Cancelled"</formula>
    </cfRule>
    <cfRule type="expression" dxfId="26" priority="7">
      <formula>$I13="Under Evaluation"</formula>
    </cfRule>
  </conditionalFormatting>
  <dataValidations count="5">
    <dataValidation type="list" showErrorMessage="1" sqref="B4">
      <formula1>"All,New,For Review,Interested,Preparing Documents,Submitting,Submitted,Under Evaluation,Awarded,Lost,Cancelled,Pending,For Canvas"</formula1>
    </dataValidation>
    <dataValidation type="list" showErrorMessage="1" sqref="C4">
      <formula1>"All,High,Medium,Low"</formula1>
    </dataValidation>
    <dataValidation type="list" showErrorMessage="1" sqref="D4">
      <formula1>"All,CARAGA,NCR,Region I,Region II,Region III,Region IV-A,Region V,Region VI,Region VII,Region VIII,Region IX,Region X,Region XI,Region XII,BARMM"</formula1>
    </dataValidation>
    <dataValidation type="list" showErrorMessage="1" sqref="E4">
      <formula1>"All,Office Supplies,IT Equipment,Food Stuff,General Merchandise,Tokens and Awards,Fertilizers,Medical/Dental,Hardware,Other"</formula1>
    </dataValidation>
    <dataValidation type="list" showErrorMessage="1" sqref="F4">
      <formula1>"All,Pending,Won,Lost,Cancelled"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5"/>
  <sheetViews>
    <sheetView showGridLines="0" zoomScale="85" zoomScaleNormal="85" workbookViewId="0">
      <selection activeCell="G34" sqref="G34:I34"/>
    </sheetView>
  </sheetViews>
  <sheetFormatPr defaultColWidth="8.71428571428571" defaultRowHeight="15"/>
  <cols>
    <col min="1" max="1" width="4" style="1" customWidth="1"/>
    <col min="2" max="2" width="13" style="1" customWidth="1"/>
    <col min="3" max="3" width="30" style="1" customWidth="1"/>
    <col min="4" max="4" width="22" style="1" customWidth="1"/>
    <col min="5" max="6" width="12" style="1" customWidth="1"/>
    <col min="7" max="8" width="9" style="1" customWidth="1"/>
    <col min="9" max="9" width="16" style="1" customWidth="1"/>
    <col min="10" max="10" width="13" style="1" customWidth="1"/>
    <col min="11" max="11" width="8" style="1" customWidth="1"/>
    <col min="12" max="12" width="16" style="1" customWidth="1"/>
  </cols>
  <sheetData>
    <row r="1" ht="48" customHeight="1" spans="1:12">
      <c r="A1" s="5" t="s">
        <v>176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19.5" customHeight="1" spans="1:12">
      <c r="A2" s="59" t="str">
        <f ca="1">TEXT(TODAY(),"MMMM DD, YYYY")</f>
        <v>June 20, 2026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ht="7.5" customHeight="1"/>
    <row r="4" ht="27.75" customHeight="1" spans="1:12">
      <c r="A4" s="60" t="s">
        <v>177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ht="25.5" customHeight="1" spans="1:12">
      <c r="B5" s="61" t="s">
        <v>2</v>
      </c>
      <c r="C5" s="61"/>
      <c r="D5" s="61"/>
      <c r="E5" s="61"/>
      <c r="F5" s="61"/>
      <c r="G5" s="61"/>
      <c r="H5" s="62" t="s">
        <v>5</v>
      </c>
      <c r="I5" s="62"/>
      <c r="J5" s="62"/>
      <c r="K5" s="62"/>
      <c r="L5" s="62"/>
    </row>
    <row r="6" ht="18" customHeight="1" spans="1:12">
      <c r="B6" s="63" t="s">
        <v>178</v>
      </c>
      <c r="C6" s="63"/>
      <c r="D6" s="63"/>
      <c r="E6" s="63"/>
      <c r="F6" s="63"/>
      <c r="G6" s="63"/>
      <c r="H6" s="64" t="s">
        <v>169</v>
      </c>
      <c r="I6" s="64"/>
      <c r="J6" s="64"/>
      <c r="K6" s="64"/>
      <c r="L6" s="64"/>
    </row>
    <row r="7" ht="33.75" customHeight="1" spans="1:12">
      <c r="B7" s="65">
        <f>COUNTA('Bid Monitoring'!B3:B200)</f>
        <v>32</v>
      </c>
      <c r="C7" s="65"/>
      <c r="D7" s="65"/>
      <c r="E7" s="65"/>
      <c r="F7" s="65"/>
      <c r="G7" s="65"/>
      <c r="H7" s="66">
        <f>IFERROR(SUMIF('Bid Monitoring'!N3:N200,"&lt;&gt;Cancelled",'Bid Monitoring'!H3:H200),0)</f>
        <v>35076412.99</v>
      </c>
      <c r="I7" s="66"/>
      <c r="J7" s="66"/>
      <c r="K7" s="66"/>
      <c r="L7" s="66"/>
    </row>
    <row r="8" ht="25.5" customHeight="1" spans="1:12">
      <c r="B8" s="67" t="s">
        <v>6</v>
      </c>
      <c r="C8" s="67"/>
      <c r="D8" s="67"/>
      <c r="E8" s="67"/>
      <c r="F8" s="67"/>
      <c r="G8" s="67"/>
      <c r="H8" s="68" t="s">
        <v>8</v>
      </c>
      <c r="I8" s="68"/>
      <c r="J8" s="68"/>
      <c r="K8" s="68"/>
      <c r="L8" s="68"/>
    </row>
    <row r="9" ht="18" customHeight="1" spans="1:12">
      <c r="B9" s="69" t="s">
        <v>179</v>
      </c>
      <c r="C9" s="69"/>
      <c r="D9" s="69"/>
      <c r="E9" s="69"/>
      <c r="F9" s="69"/>
      <c r="G9" s="69"/>
      <c r="H9" s="70" t="s">
        <v>180</v>
      </c>
      <c r="I9" s="70"/>
      <c r="J9" s="70"/>
      <c r="K9" s="70"/>
      <c r="L9" s="70"/>
    </row>
    <row r="10" ht="33.75" customHeight="1" spans="1:12">
      <c r="B10" s="71">
        <f>COUNTIFS('Bid Monitoring'!N3:N200,"&lt;&gt;Cancelled",'Bid Monitoring'!N3:N200,"&lt;&gt;Lost",'Bid Monitoring'!N3:N200,"&lt;&gt;Awarded",'Bid Monitoring'!B3:B200,"&lt;&gt;""")</f>
        <v>190</v>
      </c>
      <c r="C10" s="71"/>
      <c r="D10" s="71"/>
      <c r="E10" s="71"/>
      <c r="F10" s="71"/>
      <c r="G10" s="71"/>
      <c r="H10" s="72">
        <f>COUNTIFS('Bid Monitoring'!N3:N200,"Submitted")+COUNTIFS('Bid Monitoring'!N3:N200,"Under Evaluation")</f>
        <v>6</v>
      </c>
      <c r="I10" s="72"/>
      <c r="J10" s="72"/>
      <c r="K10" s="72"/>
      <c r="L10" s="72"/>
    </row>
    <row r="11" ht="25.5" customHeight="1" spans="1:12">
      <c r="B11" s="73" t="s">
        <v>17</v>
      </c>
      <c r="C11" s="73"/>
      <c r="D11" s="73"/>
      <c r="E11" s="73"/>
      <c r="F11" s="73"/>
      <c r="G11" s="73"/>
      <c r="H11" s="74" t="s">
        <v>181</v>
      </c>
      <c r="I11" s="74"/>
      <c r="J11" s="74"/>
      <c r="K11" s="74"/>
      <c r="L11" s="74"/>
    </row>
    <row r="12" ht="18" customHeight="1" spans="1:12">
      <c r="B12" s="75" t="s">
        <v>172</v>
      </c>
      <c r="C12" s="75"/>
      <c r="D12" s="75"/>
      <c r="E12" s="75"/>
      <c r="F12" s="75"/>
      <c r="G12" s="75"/>
      <c r="H12" s="76" t="s">
        <v>182</v>
      </c>
      <c r="I12" s="76"/>
      <c r="J12" s="76"/>
      <c r="K12" s="76"/>
      <c r="L12" s="76"/>
    </row>
    <row r="13" ht="33.75" customHeight="1" spans="1:12">
      <c r="B13" s="77">
        <f>COUNTIF('Bid Monitoring'!N3:N200,"Awarded")</f>
        <v>0</v>
      </c>
      <c r="C13" s="77"/>
      <c r="D13" s="77"/>
      <c r="E13" s="77"/>
      <c r="F13" s="77"/>
      <c r="G13" s="77"/>
      <c r="H13" s="78">
        <f>IFERROR(COUNTIF('Bid Monitoring'!N3:N200,"Awarded")/MAX(1,COUNTIFS('Bid Monitoring'!B3:B200,"&lt;&gt;""",'Bid Monitoring'!N3:N200,"&lt;&gt;Cancelled")),0)</f>
        <v>0</v>
      </c>
      <c r="I13" s="78"/>
      <c r="J13" s="78"/>
      <c r="K13" s="78"/>
      <c r="L13" s="78"/>
    </row>
    <row r="14" ht="7.5" customHeight="1" spans="1:12">
      <c r="B14" s="79" t="s">
        <v>183</v>
      </c>
      <c r="C14" s="79"/>
      <c r="D14" s="79"/>
      <c r="E14" s="79"/>
      <c r="F14" s="79"/>
      <c r="G14" s="79"/>
      <c r="H14" s="79" t="s">
        <v>184</v>
      </c>
      <c r="I14" s="79"/>
      <c r="J14" s="79"/>
      <c r="K14" s="79"/>
      <c r="L14" s="79"/>
    </row>
    <row r="15" ht="27.75" customHeight="1" spans="1:12">
      <c r="A15" s="80" t="s">
        <v>185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</row>
    <row r="16" ht="19.5" customHeight="1" spans="1:12">
      <c r="A16" s="81" t="s">
        <v>186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</row>
    <row r="17" ht="25.5" customHeight="1" spans="1:12">
      <c r="A17" s="82" t="s">
        <v>28</v>
      </c>
      <c r="B17" s="82" t="s">
        <v>174</v>
      </c>
      <c r="C17" s="82" t="s">
        <v>30</v>
      </c>
      <c r="D17" s="82" t="s">
        <v>31</v>
      </c>
      <c r="E17" s="82" t="s">
        <v>33</v>
      </c>
      <c r="F17" s="82" t="s">
        <v>34</v>
      </c>
      <c r="G17" s="82" t="s">
        <v>35</v>
      </c>
      <c r="H17" s="82" t="s">
        <v>175</v>
      </c>
      <c r="I17" s="82" t="s">
        <v>37</v>
      </c>
      <c r="J17" s="82" t="s">
        <v>53</v>
      </c>
      <c r="K17" s="82" t="s">
        <v>187</v>
      </c>
      <c r="L17" s="82" t="s">
        <v>60</v>
      </c>
    </row>
    <row r="18" ht="19.5" customHeight="1" spans="1:12">
      <c r="A18" s="83">
        <v>1</v>
      </c>
      <c r="B18" s="84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13047472</v>
      </c>
      <c r="C18" s="85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TOKEN AND AWARDS</v>
      </c>
      <c r="D18" s="85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DEPARTMENT OF HEALTH - CARAGA</v>
      </c>
      <c r="E18" s="86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1500000</v>
      </c>
      <c r="F18" s="87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46188</v>
      </c>
      <c r="G18" s="84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-5</v>
      </c>
      <c r="H18" s="84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High</v>
      </c>
      <c r="I18" s="84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For Canvas</v>
      </c>
      <c r="J18" s="84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0</v>
      </c>
      <c r="K18" s="84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50</v>
      </c>
      <c r="L18" s="85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Monitoring'!B$3:B$200)-2),1)),"")</f>
        <v>🔶 Consider</v>
      </c>
    </row>
    <row r="19" ht="19.5" customHeight="1" spans="1:12">
      <c r="A19" s="83">
        <v>2</v>
      </c>
      <c r="B19" s="88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C19" s="89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D19" s="89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E19" s="90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F19" s="91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G19" s="88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H19" s="88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I19" s="88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J19" s="88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K19" s="88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  <c r="L19" s="89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Monitoring'!B$3:B$200)-2),2)),"")</f>
        <v/>
      </c>
    </row>
    <row r="20" ht="19.5" customHeight="1" spans="1:12">
      <c r="A20" s="83">
        <v>3</v>
      </c>
      <c r="B20" s="84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C20" s="85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D20" s="85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E20" s="86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F20" s="87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G20" s="84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H20" s="84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I20" s="84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J20" s="84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K20" s="84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  <c r="L20" s="85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Monitoring'!B$3:B$200)-2),3)),"")</f>
        <v/>
      </c>
    </row>
    <row r="21" ht="19.5" customHeight="1" spans="1:12">
      <c r="A21" s="83">
        <v>4</v>
      </c>
      <c r="B21" s="88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C21" s="89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D21" s="89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E21" s="90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F21" s="91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G21" s="88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H21" s="88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I21" s="88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J21" s="88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K21" s="88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  <c r="L21" s="89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Monitoring'!B$3:B$200)-2),4)),"")</f>
        <v/>
      </c>
    </row>
    <row r="22" ht="19.5" customHeight="1" spans="1:12">
      <c r="A22" s="83">
        <v>5</v>
      </c>
      <c r="B22" s="84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C22" s="85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D22" s="85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E22" s="86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F22" s="87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G22" s="84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H22" s="84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I22" s="84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J22" s="84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K22" s="84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  <c r="L22" s="85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Monitoring'!B$3:B$200)-2),5)),"")</f>
        <v/>
      </c>
    </row>
    <row r="23" ht="19.5" customHeight="1" spans="1:12">
      <c r="A23" s="83">
        <v>6</v>
      </c>
      <c r="B23" s="88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C23" s="89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D23" s="89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E23" s="90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F23" s="91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G23" s="88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H23" s="88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I23" s="88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J23" s="88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K23" s="88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  <c r="L23" s="89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Monitoring'!B$3:B$200)-2),6)),"")</f>
        <v/>
      </c>
    </row>
    <row r="24" ht="19.5" customHeight="1" spans="1:12">
      <c r="A24" s="83">
        <v>7</v>
      </c>
      <c r="B24" s="84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C24" s="85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D24" s="85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E24" s="86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F24" s="87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G24" s="84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H24" s="84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I24" s="84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J24" s="84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K24" s="84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  <c r="L24" s="85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Monitoring'!B$3:B$200)-2),7)),"")</f>
        <v/>
      </c>
    </row>
    <row r="25" ht="19.5" customHeight="1" spans="1:12">
      <c r="A25" s="83">
        <v>8</v>
      </c>
      <c r="B25" s="88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C25" s="89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D25" s="89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E25" s="90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F25" s="91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G25" s="88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H25" s="88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I25" s="88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J25" s="88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K25" s="88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  <c r="L25" s="89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Monitoring'!B$3:B$200)-2),8)),"")</f>
        <v/>
      </c>
    </row>
    <row r="26" ht="19.5" customHeight="1" spans="1:12">
      <c r="A26" s="83">
        <v>9</v>
      </c>
      <c r="B26" s="84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C26" s="85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D26" s="85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E26" s="86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F26" s="87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G26" s="84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H26" s="84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I26" s="84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J26" s="84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K26" s="84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  <c r="L26" s="85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Monitoring'!B$3:B$200)-2),9)),"")</f>
        <v/>
      </c>
    </row>
    <row r="27" ht="19.5" customHeight="1" spans="1:12">
      <c r="A27" s="83">
        <v>10</v>
      </c>
      <c r="B27" s="88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C27" s="89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D27" s="89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E27" s="90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F27" s="91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G27" s="88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H27" s="88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I27" s="88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J27" s="88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K27" s="88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  <c r="L27" s="89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Monitoring'!B$3:B$200)-2),10)),"")</f>
        <v/>
      </c>
    </row>
    <row r="28" ht="19.5" customHeight="1" spans="1:12">
      <c r="A28" s="83">
        <v>11</v>
      </c>
      <c r="B28" s="84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C28" s="85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D28" s="85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E28" s="86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F28" s="87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G28" s="84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H28" s="84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I28" s="84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J28" s="84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K28" s="84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  <c r="L28" s="85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Monitoring'!B$3:B$200)-2),11)),"")</f>
        <v/>
      </c>
    </row>
    <row r="29" ht="19.5" customHeight="1" spans="1:12">
      <c r="A29" s="83">
        <v>12</v>
      </c>
      <c r="B29" s="88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C29" s="89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D29" s="89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E29" s="90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F29" s="91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G29" s="88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H29" s="88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I29" s="88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J29" s="88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K29" s="88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  <c r="L29" s="89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Monitoring'!B$3:B$200)-2),12)),"")</f>
        <v/>
      </c>
    </row>
    <row r="30" ht="19.5" customHeight="1" spans="1:12">
      <c r="A30" s="83">
        <v>13</v>
      </c>
      <c r="B30" s="84" t="str">
        <f ca="1">IFERROR(INDEX('Bid Monitoring'!B$3:B$200,SMALL(IF(('Bid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C30" s="85" t="str">
        <f ca="1">IFERROR(INDEX('Bid Monitoring'!D$3:D$200,SMALL(IF(('Bid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D30" s="85" t="str">
        <f ca="1">IFERROR(INDEX('Bid Monitoring'!C$3:C$200,SMALL(IF(('Bid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E30" s="86" t="str">
        <f ca="1">IFERROR(INDEX('Bid Monitoring'!H$3:H$200,SMALL(IF(('Bid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F30" s="87" t="str">
        <f ca="1">IFERROR(INDEX('Bid Monitoring'!I$3:I$200,SMALL(IF(('Bid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G30" s="84" t="str">
        <f ca="1">IFERROR(INDEX('Bid Monitoring'!K$3:K$200,SMALL(IF(('Bid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H30" s="84" t="str">
        <f ca="1">IFERROR(INDEX('Bid Monitoring'!L$3:L$200,SMALL(IF(('Bid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I30" s="84" t="str">
        <f ca="1">IFERROR(INDEX('Bid Monitoring'!N$3:N$200,SMALL(IF(('Bid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J30" s="84" t="str">
        <f ca="1">IFERROR(INDEX('Bid Monitoring'!M$3:M$200,SMALL(IF(('Bid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K30" s="84" t="str">
        <f ca="1">IFERROR(INDEX('Bid Monitoring'!S$3:S$200,SMALL(IF(('Bid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  <c r="L30" s="85" t="str">
        <f ca="1">IFERROR(INDEX('Bid Monitoring'!U$3:U$200,SMALL(IF(('Bid Monitoring'!K$3:K$200+0&gt;=0)*('Bid Monitoring'!K$3:K$200+0&lt;=4)*('Bid Monitoring'!N$3:N$200&lt;&gt;"Cancelled")*('Bid Monitoring'!N$3:N$200&lt;&gt;"Lost")*('Bid Monitoring'!N$3:N$200&lt;&gt;"Awarded")*('Bid Monitoring'!B$3:B$200&lt;&gt;""),ROW('Bid Monitoring'!B$3:B$200)-2),13)),"")</f>
        <v/>
      </c>
    </row>
    <row r="31" ht="7.5" customHeight="1"/>
    <row r="32" ht="27.75" customHeight="1" spans="1:12">
      <c r="A32" s="92" t="s">
        <v>188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</row>
    <row r="33" ht="21.75" customHeight="1" spans="1:12">
      <c r="A33" s="93" t="s">
        <v>37</v>
      </c>
      <c r="B33" s="93"/>
      <c r="C33" s="93"/>
      <c r="D33" s="93" t="s">
        <v>189</v>
      </c>
      <c r="E33" s="93"/>
      <c r="F33" s="93"/>
      <c r="G33" s="93" t="s">
        <v>190</v>
      </c>
      <c r="H33" s="93"/>
      <c r="I33" s="93"/>
      <c r="J33" s="93" t="s">
        <v>191</v>
      </c>
      <c r="K33" s="93"/>
      <c r="L33" s="93"/>
    </row>
    <row r="34" ht="21.75" customHeight="1" spans="1:12">
      <c r="A34" s="94" t="s">
        <v>192</v>
      </c>
      <c r="B34" s="94"/>
      <c r="C34" s="94"/>
      <c r="D34" s="95">
        <f>COUNTIF('Bid Monitoring'!N3:N200,"New")</f>
        <v>0</v>
      </c>
      <c r="E34" s="95"/>
      <c r="F34" s="95"/>
      <c r="G34" s="96">
        <f>IFERROR(SUMIF('Bid Monitoring'!N3:N200,"New",'Bid Monitoring'!H3:H200),0)</f>
        <v>0</v>
      </c>
      <c r="H34" s="96"/>
      <c r="I34" s="96"/>
      <c r="J34" s="97" t="s">
        <v>193</v>
      </c>
      <c r="K34" s="97"/>
      <c r="L34" s="97"/>
    </row>
    <row r="35" ht="21.75" customHeight="1" spans="1:12">
      <c r="A35" s="98" t="s">
        <v>194</v>
      </c>
      <c r="B35" s="98"/>
      <c r="C35" s="98"/>
      <c r="D35" s="99">
        <f>COUNTIF('Bid Monitoring'!N3:N200,"For Review")</f>
        <v>3</v>
      </c>
      <c r="E35" s="99"/>
      <c r="F35" s="99"/>
      <c r="G35" s="96">
        <f>IFERROR(SUMIF('Bid Monitoring'!N3:N200,"For Review",'Bid Monitoring'!H3:H200),0)</f>
        <v>4412552.3</v>
      </c>
      <c r="H35" s="96"/>
      <c r="I35" s="96"/>
      <c r="J35" s="97" t="s">
        <v>195</v>
      </c>
      <c r="K35" s="97"/>
      <c r="L35" s="97"/>
    </row>
    <row r="36" ht="21.75" customHeight="1" spans="1:12">
      <c r="A36" s="100" t="s">
        <v>196</v>
      </c>
      <c r="B36" s="100"/>
      <c r="C36" s="100"/>
      <c r="D36" s="101">
        <f>COUNTIF('Bid Monitoring'!N3:N200,"Interested")</f>
        <v>0</v>
      </c>
      <c r="E36" s="101"/>
      <c r="F36" s="101"/>
      <c r="G36" s="96">
        <f>IFERROR(SUMIF('Bid Monitoring'!N3:N200,"Interested",'Bid Monitoring'!H3:H200),0)</f>
        <v>0</v>
      </c>
      <c r="H36" s="96"/>
      <c r="I36" s="96"/>
      <c r="J36" s="97" t="s">
        <v>197</v>
      </c>
      <c r="K36" s="97"/>
      <c r="L36" s="97"/>
    </row>
    <row r="37" ht="21.75" customHeight="1" spans="1:12">
      <c r="A37" s="102" t="s">
        <v>198</v>
      </c>
      <c r="B37" s="102"/>
      <c r="C37" s="102"/>
      <c r="D37" s="103">
        <f>COUNTIF('Bid Monitoring'!N3:N200,"For Canvas")</f>
        <v>6</v>
      </c>
      <c r="E37" s="103"/>
      <c r="F37" s="103"/>
      <c r="G37" s="96">
        <f>IFERROR(SUMIF('Bid Monitoring'!N3:N200,"For Canvas",'Bid Monitoring'!H3:H200),0)</f>
        <v>13652592.4</v>
      </c>
      <c r="H37" s="96"/>
      <c r="I37" s="96"/>
      <c r="J37" s="97" t="s">
        <v>199</v>
      </c>
      <c r="K37" s="97"/>
      <c r="L37" s="97"/>
    </row>
    <row r="38" ht="21.75" customHeight="1" spans="1:12">
      <c r="A38" s="104" t="s">
        <v>200</v>
      </c>
      <c r="B38" s="104"/>
      <c r="C38" s="104"/>
      <c r="D38" s="105">
        <f>COUNTIF('Bid Monitoring'!N3:N200,"Preparing Documents")</f>
        <v>0</v>
      </c>
      <c r="E38" s="105"/>
      <c r="F38" s="105"/>
      <c r="G38" s="96">
        <f>IFERROR(SUMIF('Bid Monitoring'!N3:N200,"Preparing Documents",'Bid Monitoring'!H3:H200),0)</f>
        <v>0</v>
      </c>
      <c r="H38" s="96"/>
      <c r="I38" s="96"/>
      <c r="J38" s="97" t="s">
        <v>201</v>
      </c>
      <c r="K38" s="97"/>
      <c r="L38" s="97"/>
    </row>
    <row r="39" ht="21.75" customHeight="1" spans="1:12">
      <c r="A39" s="106" t="s">
        <v>202</v>
      </c>
      <c r="B39" s="106"/>
      <c r="C39" s="106"/>
      <c r="D39" s="107">
        <f>COUNTIF('Bid Monitoring'!N3:N200,"Submitting")</f>
        <v>5</v>
      </c>
      <c r="E39" s="107"/>
      <c r="F39" s="107"/>
      <c r="G39" s="96">
        <f>IFERROR(SUMIF('Bid Monitoring'!N3:N200,"Submitting",'Bid Monitoring'!H3:H200),0)</f>
        <v>1913790.47</v>
      </c>
      <c r="H39" s="96"/>
      <c r="I39" s="96"/>
      <c r="J39" s="97" t="s">
        <v>203</v>
      </c>
      <c r="K39" s="97"/>
      <c r="L39" s="97"/>
    </row>
    <row r="40" ht="21.75" customHeight="1" spans="1:12">
      <c r="A40" s="108" t="s">
        <v>204</v>
      </c>
      <c r="B40" s="108"/>
      <c r="C40" s="108"/>
      <c r="D40" s="109">
        <f>COUNTIF('Bid Monitoring'!N3:N200,"Submitted")</f>
        <v>4</v>
      </c>
      <c r="E40" s="109"/>
      <c r="F40" s="109"/>
      <c r="G40" s="96">
        <f>IFERROR(SUMIF('Bid Monitoring'!N3:N200,"Submitted",'Bid Monitoring'!H3:H200),0)</f>
        <v>2031717</v>
      </c>
      <c r="H40" s="96"/>
      <c r="I40" s="96"/>
      <c r="J40" s="97" t="s">
        <v>205</v>
      </c>
      <c r="K40" s="97"/>
      <c r="L40" s="97"/>
    </row>
    <row r="41" ht="21.75" customHeight="1" spans="1:12">
      <c r="A41" s="110" t="s">
        <v>206</v>
      </c>
      <c r="B41" s="110"/>
      <c r="C41" s="110"/>
      <c r="D41" s="111">
        <f>COUNTIF('Bid Monitoring'!N3:N200,"Under Evaluation")</f>
        <v>2</v>
      </c>
      <c r="E41" s="111"/>
      <c r="F41" s="111"/>
      <c r="G41" s="96">
        <f>IFERROR(SUMIF('Bid Monitoring'!N3:N200,"Under Evaluation",'Bid Monitoring'!H3:H200),0)</f>
        <v>6990000</v>
      </c>
      <c r="H41" s="96"/>
      <c r="I41" s="96"/>
      <c r="J41" s="97" t="s">
        <v>207</v>
      </c>
      <c r="K41" s="97"/>
      <c r="L41" s="97"/>
    </row>
    <row r="42" ht="21.75" customHeight="1" spans="1:12">
      <c r="A42" s="112" t="s">
        <v>208</v>
      </c>
      <c r="B42" s="112"/>
      <c r="C42" s="112"/>
      <c r="D42" s="113">
        <f>COUNTIF('Bid Monitoring'!N3:N200,"Awarded")</f>
        <v>0</v>
      </c>
      <c r="E42" s="113"/>
      <c r="F42" s="113"/>
      <c r="G42" s="96">
        <f>IFERROR(SUMIF('Bid Monitoring'!N3:N200,"Awarded",'Bid Monitoring'!H3:H200),0)</f>
        <v>0</v>
      </c>
      <c r="H42" s="96"/>
      <c r="I42" s="96"/>
      <c r="J42" s="97" t="s">
        <v>209</v>
      </c>
      <c r="K42" s="97"/>
      <c r="L42" s="97"/>
    </row>
    <row r="43" ht="21.75" customHeight="1" spans="1:12">
      <c r="A43" s="114" t="s">
        <v>210</v>
      </c>
      <c r="B43" s="114"/>
      <c r="C43" s="114"/>
      <c r="D43" s="115">
        <f>COUNTIF('Bid Monitoring'!N3:N200,"Lost")</f>
        <v>0</v>
      </c>
      <c r="E43" s="115"/>
      <c r="F43" s="115"/>
      <c r="G43" s="96">
        <f>IFERROR(SUMIF('Bid Monitoring'!N3:N200,"Lost",'Bid Monitoring'!H3:H200),0)</f>
        <v>0</v>
      </c>
      <c r="H43" s="96"/>
      <c r="I43" s="96"/>
      <c r="J43" s="97" t="s">
        <v>211</v>
      </c>
      <c r="K43" s="97"/>
      <c r="L43" s="97"/>
    </row>
    <row r="44" ht="21.75" customHeight="1" spans="1:12">
      <c r="A44" s="116" t="s">
        <v>212</v>
      </c>
      <c r="B44" s="116"/>
      <c r="C44" s="116"/>
      <c r="D44" s="117">
        <f>COUNTIF('Bid Monitoring'!N3:N200,"Cancelled")</f>
        <v>8</v>
      </c>
      <c r="E44" s="117"/>
      <c r="F44" s="117"/>
      <c r="G44" s="96">
        <f>IFERROR(SUMIF('Bid Monitoring'!N3:N200,"Cancelled",'Bid Monitoring'!H3:H200),0)</f>
        <v>73433138</v>
      </c>
      <c r="H44" s="96"/>
      <c r="I44" s="96"/>
      <c r="J44" s="97" t="s">
        <v>213</v>
      </c>
      <c r="K44" s="97"/>
      <c r="L44" s="97"/>
    </row>
    <row r="45" ht="7.5" customHeight="1"/>
    <row r="46" ht="27.75" customHeight="1" spans="1:12">
      <c r="A46" s="118" t="s">
        <v>214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</row>
    <row r="47" ht="27.75" customHeight="1" spans="1:12">
      <c r="A47" s="119" t="s">
        <v>215</v>
      </c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</row>
    <row r="48" ht="24" customHeight="1" spans="1:12">
      <c r="A48" s="120" t="s">
        <v>216</v>
      </c>
      <c r="B48" s="120" t="s">
        <v>174</v>
      </c>
      <c r="C48" s="120" t="s">
        <v>30</v>
      </c>
      <c r="D48" s="120" t="s">
        <v>36</v>
      </c>
      <c r="E48" s="120" t="s">
        <v>32</v>
      </c>
      <c r="F48" s="120" t="s">
        <v>33</v>
      </c>
      <c r="G48" s="120" t="s">
        <v>35</v>
      </c>
      <c r="H48" s="120" t="s">
        <v>187</v>
      </c>
      <c r="I48" s="120" t="s">
        <v>60</v>
      </c>
    </row>
    <row r="49" ht="21.75" customHeight="1" spans="1:12">
      <c r="A49" s="121" t="s">
        <v>217</v>
      </c>
      <c r="B49" s="122" t="str">
        <f ca="1">IFERROR(INDEX('Bid Monitoring'!B$3:B$200,MATCH(LARGE(IF('Bid Monitoring'!S$3:S$200&lt;&gt;"",'Bid Monitoring'!S$3:S$200),1),'Bid Monitoring'!S$3:S$200,0)),"")</f>
        <v/>
      </c>
      <c r="C49" s="123" t="str">
        <f ca="1">IFERROR(INDEX('Bid Monitoring'!D$3:D$200,MATCH(LARGE(IF('Bid Monitoring'!S$3:S$200&lt;&gt;"",'Bid Monitoring'!S$3:S$200),1),'Bid Monitoring'!S$3:S$200,0)),"")</f>
        <v/>
      </c>
      <c r="D49" s="122" t="str">
        <f ca="1">IFERROR(INDEX('Bid Monitoring'!E$3:E$200,MATCH(LARGE(IF('Bid Monitoring'!S$3:S$200&lt;&gt;"",'Bid Monitoring'!S$3:S$200),1),'Bid Monitoring'!S$3:S$200,0)),"")</f>
        <v/>
      </c>
      <c r="E49" s="122" t="str">
        <f ca="1">IFERROR(INDEX('Bid Monitoring'!F$3:F$200,MATCH(LARGE(IF('Bid Monitoring'!S$3:S$200&lt;&gt;"",'Bid Monitoring'!S$3:S$200),1),'Bid Monitoring'!S$3:S$200,0)),"")</f>
        <v/>
      </c>
      <c r="F49" s="124" t="str">
        <f ca="1">IFERROR(INDEX('Bid Monitoring'!H$3:H$200,MATCH(LARGE(IF('Bid Monitoring'!S$3:S$200&lt;&gt;"",'Bid Monitoring'!S$3:S$200),1),'Bid Monitoring'!S$3:S$200,0)),"")</f>
        <v/>
      </c>
      <c r="G49" s="125" t="str">
        <f ca="1">IFERROR(INDEX('Bid Monitoring'!K$3:K$200,MATCH(LARGE(IF('Bid Monitoring'!S$3:S$200&lt;&gt;"",'Bid Monitoring'!S$3:S$200),1),'Bid Monitoring'!S$3:S$200,0)),"")</f>
        <v/>
      </c>
      <c r="H49" s="125" t="str">
        <f ca="1">IFERROR(INDEX('Bid Monitoring'!S$3:S$200,MATCH(LARGE(IF('Bid Monitoring'!S$3:S$200&lt;&gt;"",'Bid Monitoring'!S$3:S$200),1),'Bid Monitoring'!S$3:S$200,0)),"")</f>
        <v/>
      </c>
      <c r="I49" s="123" t="str">
        <f ca="1">IFERROR(INDEX('Bid Monitoring'!U$3:U$200,MATCH(LARGE(IF('Bid Monitoring'!S$3:S$200&lt;&gt;"",'Bid Monitoring'!S$3:S$200),1),'Bid Monitoring'!S$3:S$200,0)),"")</f>
        <v/>
      </c>
    </row>
    <row r="50" ht="21.75" customHeight="1" spans="1:12">
      <c r="A50" s="121" t="s">
        <v>218</v>
      </c>
      <c r="B50" s="88" t="str">
        <f ca="1">IFERROR(INDEX('Bid Monitoring'!B$3:B$200,MATCH(LARGE(IF('Bid Monitoring'!S$3:S$200&lt;&gt;"",'Bid Monitoring'!S$3:S$200),2),'Bid Monitoring'!S$3:S$200,0)),"")</f>
        <v/>
      </c>
      <c r="C50" s="89" t="str">
        <f ca="1">IFERROR(INDEX('Bid Monitoring'!D$3:D$200,MATCH(LARGE(IF('Bid Monitoring'!S$3:S$200&lt;&gt;"",'Bid Monitoring'!S$3:S$200),2),'Bid Monitoring'!S$3:S$200,0)),"")</f>
        <v/>
      </c>
      <c r="D50" s="88" t="str">
        <f ca="1">IFERROR(INDEX('Bid Monitoring'!E$3:E$200,MATCH(LARGE(IF('Bid Monitoring'!S$3:S$200&lt;&gt;"",'Bid Monitoring'!S$3:S$200),2),'Bid Monitoring'!S$3:S$200,0)),"")</f>
        <v/>
      </c>
      <c r="E50" s="88" t="str">
        <f ca="1">IFERROR(INDEX('Bid Monitoring'!F$3:F$200,MATCH(LARGE(IF('Bid Monitoring'!S$3:S$200&lt;&gt;"",'Bid Monitoring'!S$3:S$200),2),'Bid Monitoring'!S$3:S$200,0)),"")</f>
        <v/>
      </c>
      <c r="F50" s="90" t="str">
        <f ca="1">IFERROR(INDEX('Bid Monitoring'!H$3:H$200,MATCH(LARGE(IF('Bid Monitoring'!S$3:S$200&lt;&gt;"",'Bid Monitoring'!S$3:S$200),2),'Bid Monitoring'!S$3:S$200,0)),"")</f>
        <v/>
      </c>
      <c r="G50" s="126" t="str">
        <f ca="1">IFERROR(INDEX('Bid Monitoring'!K$3:K$200,MATCH(LARGE(IF('Bid Monitoring'!S$3:S$200&lt;&gt;"",'Bid Monitoring'!S$3:S$200),2),'Bid Monitoring'!S$3:S$200,0)),"")</f>
        <v/>
      </c>
      <c r="H50" s="126" t="str">
        <f ca="1">IFERROR(INDEX('Bid Monitoring'!S$3:S$200,MATCH(LARGE(IF('Bid Monitoring'!S$3:S$200&lt;&gt;"",'Bid Monitoring'!S$3:S$200),2),'Bid Monitoring'!S$3:S$200,0)),"")</f>
        <v/>
      </c>
      <c r="I50" s="89" t="str">
        <f ca="1">IFERROR(INDEX('Bid Monitoring'!U$3:U$200,MATCH(LARGE(IF('Bid Monitoring'!S$3:S$200&lt;&gt;"",'Bid Monitoring'!S$3:S$200),2),'Bid Monitoring'!S$3:S$200,0)),"")</f>
        <v/>
      </c>
    </row>
    <row r="51" ht="21.75" customHeight="1" spans="1:12">
      <c r="A51" s="121" t="s">
        <v>219</v>
      </c>
      <c r="B51" s="122" t="str">
        <f ca="1">IFERROR(INDEX('Bid Monitoring'!B$3:B$200,MATCH(LARGE(IF('Bid Monitoring'!S$3:S$200&lt;&gt;"",'Bid Monitoring'!S$3:S$200),3),'Bid Monitoring'!S$3:S$200,0)),"")</f>
        <v/>
      </c>
      <c r="C51" s="123" t="str">
        <f ca="1">IFERROR(INDEX('Bid Monitoring'!D$3:D$200,MATCH(LARGE(IF('Bid Monitoring'!S$3:S$200&lt;&gt;"",'Bid Monitoring'!S$3:S$200),3),'Bid Monitoring'!S$3:S$200,0)),"")</f>
        <v/>
      </c>
      <c r="D51" s="122" t="str">
        <f ca="1">IFERROR(INDEX('Bid Monitoring'!E$3:E$200,MATCH(LARGE(IF('Bid Monitoring'!S$3:S$200&lt;&gt;"",'Bid Monitoring'!S$3:S$200),3),'Bid Monitoring'!S$3:S$200,0)),"")</f>
        <v/>
      </c>
      <c r="E51" s="122" t="str">
        <f ca="1">IFERROR(INDEX('Bid Monitoring'!F$3:F$200,MATCH(LARGE(IF('Bid Monitoring'!S$3:S$200&lt;&gt;"",'Bid Monitoring'!S$3:S$200),3),'Bid Monitoring'!S$3:S$200,0)),"")</f>
        <v/>
      </c>
      <c r="F51" s="124" t="str">
        <f ca="1">IFERROR(INDEX('Bid Monitoring'!H$3:H$200,MATCH(LARGE(IF('Bid Monitoring'!S$3:S$200&lt;&gt;"",'Bid Monitoring'!S$3:S$200),3),'Bid Monitoring'!S$3:S$200,0)),"")</f>
        <v/>
      </c>
      <c r="G51" s="125" t="str">
        <f ca="1">IFERROR(INDEX('Bid Monitoring'!K$3:K$200,MATCH(LARGE(IF('Bid Monitoring'!S$3:S$200&lt;&gt;"",'Bid Monitoring'!S$3:S$200),3),'Bid Monitoring'!S$3:S$200,0)),"")</f>
        <v/>
      </c>
      <c r="H51" s="125" t="str">
        <f ca="1">IFERROR(INDEX('Bid Monitoring'!S$3:S$200,MATCH(LARGE(IF('Bid Monitoring'!S$3:S$200&lt;&gt;"",'Bid Monitoring'!S$3:S$200),3),'Bid Monitoring'!S$3:S$200,0)),"")</f>
        <v/>
      </c>
      <c r="I51" s="123" t="str">
        <f ca="1">IFERROR(INDEX('Bid Monitoring'!U$3:U$200,MATCH(LARGE(IF('Bid Monitoring'!S$3:S$200&lt;&gt;"",'Bid Monitoring'!S$3:S$200),3),'Bid Monitoring'!S$3:S$200,0)),"")</f>
        <v/>
      </c>
    </row>
    <row r="52" ht="21.75" customHeight="1" spans="1:12">
      <c r="A52" s="121" t="s">
        <v>220</v>
      </c>
      <c r="B52" s="88" t="str">
        <f ca="1">IFERROR(INDEX('Bid Monitoring'!B$3:B$200,MATCH(LARGE(IF('Bid Monitoring'!S$3:S$200&lt;&gt;"",'Bid Monitoring'!S$3:S$200),4),'Bid Monitoring'!S$3:S$200,0)),"")</f>
        <v/>
      </c>
      <c r="C52" s="89" t="str">
        <f ca="1">IFERROR(INDEX('Bid Monitoring'!D$3:D$200,MATCH(LARGE(IF('Bid Monitoring'!S$3:S$200&lt;&gt;"",'Bid Monitoring'!S$3:S$200),4),'Bid Monitoring'!S$3:S$200,0)),"")</f>
        <v/>
      </c>
      <c r="D52" s="88" t="str">
        <f ca="1">IFERROR(INDEX('Bid Monitoring'!E$3:E$200,MATCH(LARGE(IF('Bid Monitoring'!S$3:S$200&lt;&gt;"",'Bid Monitoring'!S$3:S$200),4),'Bid Monitoring'!S$3:S$200,0)),"")</f>
        <v/>
      </c>
      <c r="E52" s="88" t="str">
        <f ca="1">IFERROR(INDEX('Bid Monitoring'!F$3:F$200,MATCH(LARGE(IF('Bid Monitoring'!S$3:S$200&lt;&gt;"",'Bid Monitoring'!S$3:S$200),4),'Bid Monitoring'!S$3:S$200,0)),"")</f>
        <v/>
      </c>
      <c r="F52" s="90" t="str">
        <f ca="1">IFERROR(INDEX('Bid Monitoring'!H$3:H$200,MATCH(LARGE(IF('Bid Monitoring'!S$3:S$200&lt;&gt;"",'Bid Monitoring'!S$3:S$200),4),'Bid Monitoring'!S$3:S$200,0)),"")</f>
        <v/>
      </c>
      <c r="G52" s="126" t="str">
        <f ca="1">IFERROR(INDEX('Bid Monitoring'!K$3:K$200,MATCH(LARGE(IF('Bid Monitoring'!S$3:S$200&lt;&gt;"",'Bid Monitoring'!S$3:S$200),4),'Bid Monitoring'!S$3:S$200,0)),"")</f>
        <v/>
      </c>
      <c r="H52" s="126" t="str">
        <f ca="1">IFERROR(INDEX('Bid Monitoring'!S$3:S$200,MATCH(LARGE(IF('Bid Monitoring'!S$3:S$200&lt;&gt;"",'Bid Monitoring'!S$3:S$200),4),'Bid Monitoring'!S$3:S$200,0)),"")</f>
        <v/>
      </c>
      <c r="I52" s="89" t="str">
        <f ca="1">IFERROR(INDEX('Bid Monitoring'!U$3:U$200,MATCH(LARGE(IF('Bid Monitoring'!S$3:S$200&lt;&gt;"",'Bid Monitoring'!S$3:S$200),4),'Bid Monitoring'!S$3:S$200,0)),"")</f>
        <v/>
      </c>
    </row>
    <row r="53" ht="21.75" customHeight="1" spans="1:12">
      <c r="A53" s="121" t="s">
        <v>221</v>
      </c>
      <c r="B53" s="122" t="str">
        <f ca="1">IFERROR(INDEX('Bid Monitoring'!B$3:B$200,MATCH(LARGE(IF('Bid Monitoring'!S$3:S$200&lt;&gt;"",'Bid Monitoring'!S$3:S$200),5),'Bid Monitoring'!S$3:S$200,0)),"")</f>
        <v/>
      </c>
      <c r="C53" s="123" t="str">
        <f ca="1">IFERROR(INDEX('Bid Monitoring'!D$3:D$200,MATCH(LARGE(IF('Bid Monitoring'!S$3:S$200&lt;&gt;"",'Bid Monitoring'!S$3:S$200),5),'Bid Monitoring'!S$3:S$200,0)),"")</f>
        <v/>
      </c>
      <c r="D53" s="122" t="str">
        <f ca="1">IFERROR(INDEX('Bid Monitoring'!E$3:E$200,MATCH(LARGE(IF('Bid Monitoring'!S$3:S$200&lt;&gt;"",'Bid Monitoring'!S$3:S$200),5),'Bid Monitoring'!S$3:S$200,0)),"")</f>
        <v/>
      </c>
      <c r="E53" s="122" t="str">
        <f ca="1">IFERROR(INDEX('Bid Monitoring'!F$3:F$200,MATCH(LARGE(IF('Bid Monitoring'!S$3:S$200&lt;&gt;"",'Bid Monitoring'!S$3:S$200),5),'Bid Monitoring'!S$3:S$200,0)),"")</f>
        <v/>
      </c>
      <c r="F53" s="124" t="str">
        <f ca="1">IFERROR(INDEX('Bid Monitoring'!H$3:H$200,MATCH(LARGE(IF('Bid Monitoring'!S$3:S$200&lt;&gt;"",'Bid Monitoring'!S$3:S$200),5),'Bid Monitoring'!S$3:S$200,0)),"")</f>
        <v/>
      </c>
      <c r="G53" s="125" t="str">
        <f ca="1">IFERROR(INDEX('Bid Monitoring'!K$3:K$200,MATCH(LARGE(IF('Bid Monitoring'!S$3:S$200&lt;&gt;"",'Bid Monitoring'!S$3:S$200),5),'Bid Monitoring'!S$3:S$200,0)),"")</f>
        <v/>
      </c>
      <c r="H53" s="125" t="str">
        <f ca="1">IFERROR(INDEX('Bid Monitoring'!S$3:S$200,MATCH(LARGE(IF('Bid Monitoring'!S$3:S$200&lt;&gt;"",'Bid Monitoring'!S$3:S$200),5),'Bid Monitoring'!S$3:S$200,0)),"")</f>
        <v/>
      </c>
      <c r="I53" s="123" t="str">
        <f ca="1">IFERROR(INDEX('Bid Monitoring'!U$3:U$200,MATCH(LARGE(IF('Bid Monitoring'!S$3:S$200&lt;&gt;"",'Bid Monitoring'!S$3:S$200),5),'Bid Monitoring'!S$3:S$200,0)),"")</f>
        <v/>
      </c>
    </row>
    <row r="54" ht="7.5" customHeight="1"/>
    <row r="55" ht="18" customHeight="1" spans="1:12">
      <c r="A55" s="127" t="str">
        <f ca="1">IFERROR("Generated on: "&amp;TEXT(TODAY(),"MMMM DD, YYYY")&amp;"   |   PhilGEPS Monitoring System v2   |   Confidential — For Internal Use Only","")</f>
        <v>Generated on: June 20, 2026   |   PhilGEPS Monitoring System v2   |   Confidential — For Internal Use Only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</row>
  </sheetData>
  <mergeCells count="77">
    <mergeCell ref="A1:L1"/>
    <mergeCell ref="A2:L2"/>
    <mergeCell ref="A4:L4"/>
    <mergeCell ref="B5:G5"/>
    <mergeCell ref="H5:L5"/>
    <mergeCell ref="B6:G6"/>
    <mergeCell ref="H6:L6"/>
    <mergeCell ref="B7:G7"/>
    <mergeCell ref="H7:L7"/>
    <mergeCell ref="B8:G8"/>
    <mergeCell ref="H8:L8"/>
    <mergeCell ref="B9:G9"/>
    <mergeCell ref="H9:L9"/>
    <mergeCell ref="B10:G10"/>
    <mergeCell ref="H10:L10"/>
    <mergeCell ref="B11:G11"/>
    <mergeCell ref="H11:L11"/>
    <mergeCell ref="B12:G12"/>
    <mergeCell ref="H12:L12"/>
    <mergeCell ref="B13:G13"/>
    <mergeCell ref="H13:L13"/>
    <mergeCell ref="B14:G14"/>
    <mergeCell ref="H14:L14"/>
    <mergeCell ref="A15:L15"/>
    <mergeCell ref="A16:L16"/>
    <mergeCell ref="A32:L32"/>
    <mergeCell ref="A33:C33"/>
    <mergeCell ref="D33:F33"/>
    <mergeCell ref="G33:I33"/>
    <mergeCell ref="J33:L33"/>
    <mergeCell ref="A34:C34"/>
    <mergeCell ref="D34:F34"/>
    <mergeCell ref="G34:I34"/>
    <mergeCell ref="J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C38"/>
    <mergeCell ref="D38:F38"/>
    <mergeCell ref="G38:I38"/>
    <mergeCell ref="J38:L38"/>
    <mergeCell ref="A39:C39"/>
    <mergeCell ref="D39:F39"/>
    <mergeCell ref="G39:I39"/>
    <mergeCell ref="J39:L39"/>
    <mergeCell ref="A40:C40"/>
    <mergeCell ref="D40:F40"/>
    <mergeCell ref="G40:I40"/>
    <mergeCell ref="J40:L40"/>
    <mergeCell ref="A41:C41"/>
    <mergeCell ref="D41:F41"/>
    <mergeCell ref="G41:I41"/>
    <mergeCell ref="J41:L41"/>
    <mergeCell ref="A42:C42"/>
    <mergeCell ref="D42:F42"/>
    <mergeCell ref="G42:I42"/>
    <mergeCell ref="J42:L42"/>
    <mergeCell ref="A43:C43"/>
    <mergeCell ref="D43:F43"/>
    <mergeCell ref="G43:I43"/>
    <mergeCell ref="J43:L43"/>
    <mergeCell ref="A44:C44"/>
    <mergeCell ref="D44:F44"/>
    <mergeCell ref="G44:I44"/>
    <mergeCell ref="J44:L44"/>
    <mergeCell ref="A46:L46"/>
    <mergeCell ref="A47:L47"/>
    <mergeCell ref="A55:L55"/>
  </mergeCells>
  <pageMargins left="0.75" right="0.75" top="1" bottom="1" header="0.511811023622047" footer="0.511811023622047"/>
  <pageSetup paperSize="9" scale="79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showGridLines="0" workbookViewId="0">
      <pane ySplit="3" topLeftCell="A4" activePane="bottomLeft" state="frozen"/>
      <selection/>
      <selection pane="bottomLeft" activeCell="C7" sqref="C7"/>
    </sheetView>
  </sheetViews>
  <sheetFormatPr defaultColWidth="8.71428571428571" defaultRowHeight="15"/>
  <cols>
    <col min="1" max="1" width="16" style="1" customWidth="1"/>
    <col min="2" max="2" width="11" style="1" customWidth="1"/>
    <col min="3" max="4" width="13" style="1" customWidth="1"/>
    <col min="5" max="5" width="12" style="1" customWidth="1"/>
    <col min="6" max="6" width="14" style="1" customWidth="1"/>
    <col min="7" max="8" width="13" style="1" customWidth="1"/>
    <col min="9" max="9" width="30" style="1" customWidth="1"/>
    <col min="10" max="10" width="18" style="1" customWidth="1"/>
  </cols>
  <sheetData>
    <row r="1" ht="37.5" customHeight="1" spans="1:10">
      <c r="A1" s="17" t="s">
        <v>222</v>
      </c>
      <c r="B1" s="17"/>
      <c r="C1" s="17"/>
      <c r="D1" s="17"/>
      <c r="E1" s="17"/>
      <c r="F1" s="17"/>
      <c r="G1" s="17"/>
      <c r="H1" s="17"/>
      <c r="I1" s="50"/>
      <c r="J1" s="50"/>
    </row>
    <row r="2" ht="19.5" customHeight="1" spans="1:10">
      <c r="A2" s="51" t="s">
        <v>223</v>
      </c>
      <c r="B2" s="51"/>
      <c r="C2" s="51"/>
      <c r="D2" s="51"/>
      <c r="E2" s="51"/>
      <c r="F2" s="51"/>
      <c r="G2" s="51"/>
      <c r="H2" s="51"/>
      <c r="I2" s="51"/>
      <c r="J2" s="51"/>
    </row>
    <row r="3" ht="31.5" customHeight="1" spans="1:10">
      <c r="A3" s="52" t="s">
        <v>224</v>
      </c>
      <c r="B3" s="52" t="s">
        <v>225</v>
      </c>
      <c r="C3" s="52" t="s">
        <v>226</v>
      </c>
      <c r="D3" s="52" t="s">
        <v>227</v>
      </c>
      <c r="E3" s="52" t="s">
        <v>228</v>
      </c>
      <c r="F3" s="52" t="s">
        <v>229</v>
      </c>
      <c r="G3" s="52" t="s">
        <v>230</v>
      </c>
      <c r="H3" s="52" t="s">
        <v>231</v>
      </c>
      <c r="I3" s="52" t="s">
        <v>54</v>
      </c>
      <c r="J3" s="52" t="s">
        <v>232</v>
      </c>
    </row>
    <row r="4" ht="21.75" customHeight="1" spans="1:10">
      <c r="A4" s="43">
        <v>46179</v>
      </c>
      <c r="B4" s="29" t="str">
        <f t="shared" ref="B4:B33" si="0">IF(A4="","",TEXT(A4,"DDDD"))</f>
        <v>Saturday</v>
      </c>
      <c r="C4" s="29">
        <f>IF(A4="","",COUNTIFS('Bid Monitoring'!A:A,A4))</f>
        <v>7</v>
      </c>
      <c r="D4" s="29">
        <f>IF(A4="","",COUNTIFS('Bid Monitoring'!A:A,A4,'Bid Monitoring'!H:H,"&gt;200000"))</f>
        <v>7</v>
      </c>
      <c r="E4" s="29">
        <f ca="1">IF(A4="","",COUNTIFS('Bid Monitoring'!A:A,A4,'Bid Monitoring'!L:L,"High"))</f>
        <v>4</v>
      </c>
      <c r="F4" s="29">
        <f ca="1">IF(A4="","",COUNTIFS('Bid Monitoring'!A:A,A4,'Bid Monitoring'!K:K,"&gt;=0",'Bid Monitoring'!K:K,"&lt;=7"))</f>
        <v>0</v>
      </c>
      <c r="G4" s="29">
        <f ca="1">IF(A4="","",COUNTIFS('Bid Monitoring'!A:A,A4,'Bid Monitoring'!U:U,"✅ Highly Recommended"))</f>
        <v>0</v>
      </c>
      <c r="H4" s="29">
        <f>IF(A4="","",COUNTIFS('Bid Monitoring'!P:P,A4))</f>
        <v>0</v>
      </c>
      <c r="I4" s="29"/>
      <c r="J4" s="29" t="s">
        <v>233</v>
      </c>
    </row>
    <row r="5" ht="21.75" customHeight="1" spans="1:10">
      <c r="A5" s="53">
        <v>46180</v>
      </c>
      <c r="B5" s="54" t="str">
        <f t="shared" si="0"/>
        <v>Sunday</v>
      </c>
      <c r="C5" s="54">
        <f>IF(A5="","",COUNTIFS('Bid Monitoring'!A:A,A5))</f>
        <v>6</v>
      </c>
      <c r="D5" s="54">
        <f>IF(A5="","",COUNTIFS('Bid Monitoring'!A:A,A5,'Bid Monitoring'!H:H,"&gt;200000"))</f>
        <v>6</v>
      </c>
      <c r="E5" s="54">
        <f ca="1">IF(A5="","",COUNTIFS('Bid Monitoring'!A:A,A5,'Bid Monitoring'!L:L,"High"))</f>
        <v>3</v>
      </c>
      <c r="F5" s="54">
        <f ca="1">IF(A5="","",COUNTIFS('Bid Monitoring'!A:A,A5,'Bid Monitoring'!K:K,"&gt;=0",'Bid Monitoring'!K:K,"&lt;=7"))</f>
        <v>1</v>
      </c>
      <c r="G5" s="54">
        <f ca="1">IF(A5="","",COUNTIFS('Bid Monitoring'!A:A,A5,'Bid Monitoring'!U:U,"✅ Highly Recommended"))</f>
        <v>0</v>
      </c>
      <c r="H5" s="54">
        <f>IF(A5="","",COUNTIFS('Bid Monitoring'!P:P,A5))</f>
        <v>0</v>
      </c>
      <c r="I5" s="54"/>
      <c r="J5" s="54" t="s">
        <v>233</v>
      </c>
    </row>
    <row r="6" ht="21.75" customHeight="1" spans="1:10">
      <c r="A6" s="43">
        <v>46184</v>
      </c>
      <c r="B6" s="29" t="str">
        <f t="shared" si="0"/>
        <v>Thursday</v>
      </c>
      <c r="C6" s="29">
        <f>IF(A6="","",COUNTIFS('Bid Monitoring'!A:A,A6))</f>
        <v>7</v>
      </c>
      <c r="D6" s="29">
        <f>IF(A6="","",COUNTIFS('Bid Monitoring'!A:A,A6,'Bid Monitoring'!H:H,"&gt;200000"))</f>
        <v>7</v>
      </c>
      <c r="E6" s="29">
        <f ca="1">IF(A6="","",COUNTIFS('Bid Monitoring'!A:A,A6,'Bid Monitoring'!L:L,"High"))</f>
        <v>7</v>
      </c>
      <c r="F6" s="29">
        <f ca="1">IF(A6="","",COUNTIFS('Bid Monitoring'!A:A,A6,'Bid Monitoring'!K:K,"&gt;=0",'Bid Monitoring'!K:K,"&lt;=7"))</f>
        <v>0</v>
      </c>
      <c r="G6" s="29">
        <f ca="1">IF(A6="","",COUNTIFS('Bid Monitoring'!A:A,A6,'Bid Monitoring'!U:U,"✅ Highly Recommended"))</f>
        <v>0</v>
      </c>
      <c r="H6" s="29">
        <f>IF(A6="","",COUNTIFS('Bid Monitoring'!P:P,A6))</f>
        <v>0</v>
      </c>
      <c r="I6" s="29"/>
      <c r="J6" s="29" t="s">
        <v>233</v>
      </c>
    </row>
    <row r="7" ht="21.75" customHeight="1" spans="1:10">
      <c r="A7" s="53"/>
      <c r="B7" s="54" t="str">
        <f t="shared" si="0"/>
        <v/>
      </c>
      <c r="C7" s="54" t="str">
        <f>IF(A7="","",COUNTIFS('Bid Monitoring'!A:A,A7))</f>
        <v/>
      </c>
      <c r="D7" s="54" t="str">
        <f>IF(A7="","",COUNTIFS('Bid Monitoring'!A:A,A7,'Bid Monitoring'!H:H,"&gt;200000"))</f>
        <v/>
      </c>
      <c r="E7" s="54" t="str">
        <f ca="1">IF(A7="","",COUNTIFS('Bid Monitoring'!A:A,A7,'Bid Monitoring'!L:L,"High"))</f>
        <v/>
      </c>
      <c r="F7" s="54" t="str">
        <f ca="1">IF(A7="","",COUNTIFS('Bid Monitoring'!A:A,A7,'Bid Monitoring'!K:K,"&gt;=0",'Bid Monitoring'!K:K,"&lt;=7"))</f>
        <v/>
      </c>
      <c r="G7" s="54" t="str">
        <f ca="1">IF(A7="","",COUNTIFS('Bid Monitoring'!A:A,A7,'Bid Monitoring'!U:U,"✅ Highly Recommended"))</f>
        <v/>
      </c>
      <c r="H7" s="54" t="str">
        <f>IF(A7="","",COUNTIFS('Bid Monitoring'!P:P,A7))</f>
        <v/>
      </c>
      <c r="I7" s="54"/>
      <c r="J7" s="54"/>
    </row>
    <row r="8" ht="21.75" customHeight="1" spans="1:10">
      <c r="A8" s="43"/>
      <c r="B8" s="29" t="str">
        <f t="shared" si="0"/>
        <v/>
      </c>
      <c r="C8" s="29" t="str">
        <f>IF(A8="","",COUNTIFS('Bid Monitoring'!A:A,A8))</f>
        <v/>
      </c>
      <c r="D8" s="29" t="str">
        <f>IF(A8="","",COUNTIFS('Bid Monitoring'!A:A,A8,'Bid Monitoring'!H:H,"&gt;200000"))</f>
        <v/>
      </c>
      <c r="E8" s="29" t="str">
        <f ca="1">IF(A8="","",COUNTIFS('Bid Monitoring'!A:A,A8,'Bid Monitoring'!L:L,"High"))</f>
        <v/>
      </c>
      <c r="F8" s="29" t="str">
        <f ca="1">IF(A8="","",COUNTIFS('Bid Monitoring'!A:A,A8,'Bid Monitoring'!K:K,"&gt;=0",'Bid Monitoring'!K:K,"&lt;=7"))</f>
        <v/>
      </c>
      <c r="G8" s="29" t="str">
        <f ca="1">IF(A8="","",COUNTIFS('Bid Monitoring'!A:A,A8,'Bid Monitoring'!U:U,"✅ Highly Recommended"))</f>
        <v/>
      </c>
      <c r="H8" s="29" t="str">
        <f>IF(A8="","",COUNTIFS('Bid Monitoring'!P:P,A8))</f>
        <v/>
      </c>
      <c r="I8" s="29"/>
      <c r="J8" s="29"/>
    </row>
    <row r="9" ht="21.75" customHeight="1" spans="1:10">
      <c r="A9" s="53"/>
      <c r="B9" s="54" t="str">
        <f t="shared" si="0"/>
        <v/>
      </c>
      <c r="C9" s="54" t="str">
        <f>IF(A9="","",COUNTIFS('Bid Monitoring'!A:A,A9))</f>
        <v/>
      </c>
      <c r="D9" s="54" t="str">
        <f>IF(A9="","",COUNTIFS('Bid Monitoring'!A:A,A9,'Bid Monitoring'!H:H,"&gt;200000"))</f>
        <v/>
      </c>
      <c r="E9" s="54" t="str">
        <f ca="1">IF(A9="","",COUNTIFS('Bid Monitoring'!A:A,A9,'Bid Monitoring'!L:L,"High"))</f>
        <v/>
      </c>
      <c r="F9" s="54" t="str">
        <f ca="1">IF(A9="","",COUNTIFS('Bid Monitoring'!A:A,A9,'Bid Monitoring'!K:K,"&gt;=0",'Bid Monitoring'!K:K,"&lt;=7"))</f>
        <v/>
      </c>
      <c r="G9" s="54" t="str">
        <f ca="1">IF(A9="","",COUNTIFS('Bid Monitoring'!A:A,A9,'Bid Monitoring'!U:U,"✅ Highly Recommended"))</f>
        <v/>
      </c>
      <c r="H9" s="54" t="str">
        <f>IF(A9="","",COUNTIFS('Bid Monitoring'!P:P,A9))</f>
        <v/>
      </c>
      <c r="I9" s="54"/>
      <c r="J9" s="54"/>
    </row>
    <row r="10" ht="21.75" customHeight="1" spans="1:10">
      <c r="A10" s="43"/>
      <c r="B10" s="29" t="str">
        <f t="shared" si="0"/>
        <v/>
      </c>
      <c r="C10" s="29" t="str">
        <f>IF(A10="","",COUNTIFS('Bid Monitoring'!A:A,A10))</f>
        <v/>
      </c>
      <c r="D10" s="29" t="str">
        <f>IF(A10="","",COUNTIFS('Bid Monitoring'!A:A,A10,'Bid Monitoring'!H:H,"&gt;200000"))</f>
        <v/>
      </c>
      <c r="E10" s="29" t="str">
        <f ca="1">IF(A10="","",COUNTIFS('Bid Monitoring'!A:A,A10,'Bid Monitoring'!L:L,"High"))</f>
        <v/>
      </c>
      <c r="F10" s="29" t="str">
        <f ca="1">IF(A10="","",COUNTIFS('Bid Monitoring'!A:A,A10,'Bid Monitoring'!K:K,"&gt;=0",'Bid Monitoring'!K:K,"&lt;=7"))</f>
        <v/>
      </c>
      <c r="G10" s="29" t="str">
        <f ca="1">IF(A10="","",COUNTIFS('Bid Monitoring'!A:A,A10,'Bid Monitoring'!U:U,"✅ Highly Recommended"))</f>
        <v/>
      </c>
      <c r="H10" s="29" t="str">
        <f>IF(A10="","",COUNTIFS('Bid Monitoring'!P:P,A10))</f>
        <v/>
      </c>
      <c r="I10" s="29"/>
      <c r="J10" s="29"/>
    </row>
    <row r="11" ht="21.75" customHeight="1" spans="1:10">
      <c r="A11" s="53"/>
      <c r="B11" s="54" t="str">
        <f t="shared" si="0"/>
        <v/>
      </c>
      <c r="C11" s="54" t="str">
        <f>IF(A11="","",COUNTIFS('Bid Monitoring'!A:A,A11))</f>
        <v/>
      </c>
      <c r="D11" s="54" t="str">
        <f>IF(A11="","",COUNTIFS('Bid Monitoring'!A:A,A11,'Bid Monitoring'!H:H,"&gt;200000"))</f>
        <v/>
      </c>
      <c r="E11" s="54" t="str">
        <f ca="1">IF(A11="","",COUNTIFS('Bid Monitoring'!A:A,A11,'Bid Monitoring'!L:L,"High"))</f>
        <v/>
      </c>
      <c r="F11" s="54" t="str">
        <f ca="1">IF(A11="","",COUNTIFS('Bid Monitoring'!A:A,A11,'Bid Monitoring'!K:K,"&gt;=0",'Bid Monitoring'!K:K,"&lt;=7"))</f>
        <v/>
      </c>
      <c r="G11" s="54" t="str">
        <f ca="1">IF(A11="","",COUNTIFS('Bid Monitoring'!A:A,A11,'Bid Monitoring'!U:U,"✅ Highly Recommended"))</f>
        <v/>
      </c>
      <c r="H11" s="54" t="str">
        <f>IF(A11="","",COUNTIFS('Bid Monitoring'!P:P,A11))</f>
        <v/>
      </c>
      <c r="I11" s="54"/>
      <c r="J11" s="54"/>
    </row>
    <row r="12" ht="21.75" customHeight="1" spans="1:10">
      <c r="A12" s="43"/>
      <c r="B12" s="29" t="str">
        <f t="shared" si="0"/>
        <v/>
      </c>
      <c r="C12" s="29" t="str">
        <f>IF(A12="","",COUNTIFS('Bid Monitoring'!A:A,A12))</f>
        <v/>
      </c>
      <c r="D12" s="29" t="str">
        <f>IF(A12="","",COUNTIFS('Bid Monitoring'!A:A,A12,'Bid Monitoring'!H:H,"&gt;200000"))</f>
        <v/>
      </c>
      <c r="E12" s="29" t="str">
        <f ca="1">IF(A12="","",COUNTIFS('Bid Monitoring'!A:A,A12,'Bid Monitoring'!L:L,"High"))</f>
        <v/>
      </c>
      <c r="F12" s="29" t="str">
        <f ca="1">IF(A12="","",COUNTIFS('Bid Monitoring'!A:A,A12,'Bid Monitoring'!K:K,"&gt;=0",'Bid Monitoring'!K:K,"&lt;=7"))</f>
        <v/>
      </c>
      <c r="G12" s="29" t="str">
        <f ca="1">IF(A12="","",COUNTIFS('Bid Monitoring'!A:A,A12,'Bid Monitoring'!U:U,"✅ Highly Recommended"))</f>
        <v/>
      </c>
      <c r="H12" s="29" t="str">
        <f>IF(A12="","",COUNTIFS('Bid Monitoring'!P:P,A12))</f>
        <v/>
      </c>
      <c r="I12" s="29"/>
      <c r="J12" s="29"/>
    </row>
    <row r="13" ht="21.75" customHeight="1" spans="1:10">
      <c r="A13" s="53"/>
      <c r="B13" s="54" t="str">
        <f t="shared" si="0"/>
        <v/>
      </c>
      <c r="C13" s="54" t="str">
        <f>IF(A13="","",COUNTIFS('Bid Monitoring'!A:A,A13))</f>
        <v/>
      </c>
      <c r="D13" s="54" t="str">
        <f>IF(A13="","",COUNTIFS('Bid Monitoring'!A:A,A13,'Bid Monitoring'!H:H,"&gt;200000"))</f>
        <v/>
      </c>
      <c r="E13" s="54" t="str">
        <f ca="1">IF(A13="","",COUNTIFS('Bid Monitoring'!A:A,A13,'Bid Monitoring'!L:L,"High"))</f>
        <v/>
      </c>
      <c r="F13" s="54" t="str">
        <f ca="1">IF(A13="","",COUNTIFS('Bid Monitoring'!A:A,A13,'Bid Monitoring'!K:K,"&gt;=0",'Bid Monitoring'!K:K,"&lt;=7"))</f>
        <v/>
      </c>
      <c r="G13" s="54" t="str">
        <f ca="1">IF(A13="","",COUNTIFS('Bid Monitoring'!A:A,A13,'Bid Monitoring'!U:U,"✅ Highly Recommended"))</f>
        <v/>
      </c>
      <c r="H13" s="54" t="str">
        <f>IF(A13="","",COUNTIFS('Bid Monitoring'!P:P,A13))</f>
        <v/>
      </c>
      <c r="I13" s="54"/>
      <c r="J13" s="54"/>
    </row>
    <row r="14" ht="21.75" customHeight="1" spans="1:10">
      <c r="A14" s="43"/>
      <c r="B14" s="29" t="str">
        <f t="shared" si="0"/>
        <v/>
      </c>
      <c r="C14" s="29" t="str">
        <f>IF(A14="","",COUNTIFS('Bid Monitoring'!A:A,A14))</f>
        <v/>
      </c>
      <c r="D14" s="29" t="str">
        <f>IF(A14="","",COUNTIFS('Bid Monitoring'!A:A,A14,'Bid Monitoring'!H:H,"&gt;200000"))</f>
        <v/>
      </c>
      <c r="E14" s="29" t="str">
        <f ca="1">IF(A14="","",COUNTIFS('Bid Monitoring'!A:A,A14,'Bid Monitoring'!L:L,"High"))</f>
        <v/>
      </c>
      <c r="F14" s="29" t="str">
        <f ca="1">IF(A14="","",COUNTIFS('Bid Monitoring'!A:A,A14,'Bid Monitoring'!K:K,"&gt;=0",'Bid Monitoring'!K:K,"&lt;=7"))</f>
        <v/>
      </c>
      <c r="G14" s="29" t="str">
        <f ca="1">IF(A14="","",COUNTIFS('Bid Monitoring'!A:A,A14,'Bid Monitoring'!U:U,"✅ Highly Recommended"))</f>
        <v/>
      </c>
      <c r="H14" s="29" t="str">
        <f>IF(A14="","",COUNTIFS('Bid Monitoring'!P:P,A14))</f>
        <v/>
      </c>
      <c r="I14" s="29"/>
      <c r="J14" s="29"/>
    </row>
    <row r="15" ht="21.75" customHeight="1" spans="1:10">
      <c r="A15" s="53"/>
      <c r="B15" s="54" t="str">
        <f t="shared" si="0"/>
        <v/>
      </c>
      <c r="C15" s="54" t="str">
        <f>IF(A15="","",COUNTIFS('Bid Monitoring'!A:A,A15))</f>
        <v/>
      </c>
      <c r="D15" s="54" t="str">
        <f>IF(A15="","",COUNTIFS('Bid Monitoring'!A:A,A15,'Bid Monitoring'!H:H,"&gt;200000"))</f>
        <v/>
      </c>
      <c r="E15" s="54" t="str">
        <f ca="1">IF(A15="","",COUNTIFS('Bid Monitoring'!A:A,A15,'Bid Monitoring'!L:L,"High"))</f>
        <v/>
      </c>
      <c r="F15" s="54" t="str">
        <f ca="1">IF(A15="","",COUNTIFS('Bid Monitoring'!A:A,A15,'Bid Monitoring'!K:K,"&gt;=0",'Bid Monitoring'!K:K,"&lt;=7"))</f>
        <v/>
      </c>
      <c r="G15" s="54" t="str">
        <f ca="1">IF(A15="","",COUNTIFS('Bid Monitoring'!A:A,A15,'Bid Monitoring'!U:U,"✅ Highly Recommended"))</f>
        <v/>
      </c>
      <c r="H15" s="54" t="str">
        <f>IF(A15="","",COUNTIFS('Bid Monitoring'!P:P,A15))</f>
        <v/>
      </c>
      <c r="I15" s="54"/>
      <c r="J15" s="54"/>
    </row>
    <row r="16" ht="21.75" customHeight="1" spans="1:10">
      <c r="A16" s="43"/>
      <c r="B16" s="29" t="str">
        <f t="shared" si="0"/>
        <v/>
      </c>
      <c r="C16" s="29" t="str">
        <f>IF(A16="","",COUNTIFS('Bid Monitoring'!A:A,A16))</f>
        <v/>
      </c>
      <c r="D16" s="29" t="str">
        <f>IF(A16="","",COUNTIFS('Bid Monitoring'!A:A,A16,'Bid Monitoring'!H:H,"&gt;200000"))</f>
        <v/>
      </c>
      <c r="E16" s="29" t="str">
        <f ca="1">IF(A16="","",COUNTIFS('Bid Monitoring'!A:A,A16,'Bid Monitoring'!L:L,"High"))</f>
        <v/>
      </c>
      <c r="F16" s="29" t="str">
        <f ca="1">IF(A16="","",COUNTIFS('Bid Monitoring'!A:A,A16,'Bid Monitoring'!K:K,"&gt;=0",'Bid Monitoring'!K:K,"&lt;=7"))</f>
        <v/>
      </c>
      <c r="G16" s="29" t="str">
        <f ca="1">IF(A16="","",COUNTIFS('Bid Monitoring'!A:A,A16,'Bid Monitoring'!U:U,"✅ Highly Recommended"))</f>
        <v/>
      </c>
      <c r="H16" s="29" t="str">
        <f>IF(A16="","",COUNTIFS('Bid Monitoring'!P:P,A16))</f>
        <v/>
      </c>
      <c r="I16" s="29"/>
      <c r="J16" s="29"/>
    </row>
    <row r="17" ht="21.75" customHeight="1" spans="1:10">
      <c r="A17" s="53"/>
      <c r="B17" s="54" t="str">
        <f t="shared" si="0"/>
        <v/>
      </c>
      <c r="C17" s="54" t="str">
        <f>IF(A17="","",COUNTIFS('Bid Monitoring'!A:A,A17))</f>
        <v/>
      </c>
      <c r="D17" s="54" t="str">
        <f>IF(A17="","",COUNTIFS('Bid Monitoring'!A:A,A17,'Bid Monitoring'!H:H,"&gt;200000"))</f>
        <v/>
      </c>
      <c r="E17" s="54" t="str">
        <f ca="1">IF(A17="","",COUNTIFS('Bid Monitoring'!A:A,A17,'Bid Monitoring'!L:L,"High"))</f>
        <v/>
      </c>
      <c r="F17" s="54" t="str">
        <f ca="1">IF(A17="","",COUNTIFS('Bid Monitoring'!A:A,A17,'Bid Monitoring'!K:K,"&gt;=0",'Bid Monitoring'!K:K,"&lt;=7"))</f>
        <v/>
      </c>
      <c r="G17" s="54" t="str">
        <f ca="1">IF(A17="","",COUNTIFS('Bid Monitoring'!A:A,A17,'Bid Monitoring'!U:U,"✅ Highly Recommended"))</f>
        <v/>
      </c>
      <c r="H17" s="54" t="str">
        <f>IF(A17="","",COUNTIFS('Bid Monitoring'!P:P,A17))</f>
        <v/>
      </c>
      <c r="I17" s="54"/>
      <c r="J17" s="54"/>
    </row>
    <row r="18" ht="21.75" customHeight="1" spans="1:10">
      <c r="A18" s="43"/>
      <c r="B18" s="29" t="str">
        <f t="shared" si="0"/>
        <v/>
      </c>
      <c r="C18" s="29" t="str">
        <f>IF(A18="","",COUNTIFS('Bid Monitoring'!A:A,A18))</f>
        <v/>
      </c>
      <c r="D18" s="29" t="str">
        <f>IF(A18="","",COUNTIFS('Bid Monitoring'!A:A,A18,'Bid Monitoring'!H:H,"&gt;200000"))</f>
        <v/>
      </c>
      <c r="E18" s="29" t="str">
        <f ca="1">IF(A18="","",COUNTIFS('Bid Monitoring'!A:A,A18,'Bid Monitoring'!L:L,"High"))</f>
        <v/>
      </c>
      <c r="F18" s="29" t="str">
        <f ca="1">IF(A18="","",COUNTIFS('Bid Monitoring'!A:A,A18,'Bid Monitoring'!K:K,"&gt;=0",'Bid Monitoring'!K:K,"&lt;=7"))</f>
        <v/>
      </c>
      <c r="G18" s="29" t="str">
        <f ca="1">IF(A18="","",COUNTIFS('Bid Monitoring'!A:A,A18,'Bid Monitoring'!U:U,"✅ Highly Recommended"))</f>
        <v/>
      </c>
      <c r="H18" s="29" t="str">
        <f>IF(A18="","",COUNTIFS('Bid Monitoring'!P:P,A18))</f>
        <v/>
      </c>
      <c r="I18" s="29"/>
      <c r="J18" s="29"/>
    </row>
    <row r="19" ht="21.75" customHeight="1" spans="1:10">
      <c r="A19" s="53"/>
      <c r="B19" s="54" t="str">
        <f t="shared" si="0"/>
        <v/>
      </c>
      <c r="C19" s="54" t="str">
        <f>IF(A19="","",COUNTIFS('Bid Monitoring'!A:A,A19))</f>
        <v/>
      </c>
      <c r="D19" s="54" t="str">
        <f>IF(A19="","",COUNTIFS('Bid Monitoring'!A:A,A19,'Bid Monitoring'!H:H,"&gt;200000"))</f>
        <v/>
      </c>
      <c r="E19" s="54" t="str">
        <f ca="1">IF(A19="","",COUNTIFS('Bid Monitoring'!A:A,A19,'Bid Monitoring'!L:L,"High"))</f>
        <v/>
      </c>
      <c r="F19" s="54" t="str">
        <f ca="1">IF(A19="","",COUNTIFS('Bid Monitoring'!A:A,A19,'Bid Monitoring'!K:K,"&gt;=0",'Bid Monitoring'!K:K,"&lt;=7"))</f>
        <v/>
      </c>
      <c r="G19" s="54" t="str">
        <f ca="1">IF(A19="","",COUNTIFS('Bid Monitoring'!A:A,A19,'Bid Monitoring'!U:U,"✅ Highly Recommended"))</f>
        <v/>
      </c>
      <c r="H19" s="54" t="str">
        <f>IF(A19="","",COUNTIFS('Bid Monitoring'!P:P,A19))</f>
        <v/>
      </c>
      <c r="I19" s="54"/>
      <c r="J19" s="54"/>
    </row>
    <row r="20" ht="21.75" customHeight="1" spans="1:10">
      <c r="A20" s="43"/>
      <c r="B20" s="29" t="str">
        <f t="shared" si="0"/>
        <v/>
      </c>
      <c r="C20" s="29" t="str">
        <f>IF(A20="","",COUNTIFS('Bid Monitoring'!A:A,A20))</f>
        <v/>
      </c>
      <c r="D20" s="29" t="str">
        <f>IF(A20="","",COUNTIFS('Bid Monitoring'!A:A,A20,'Bid Monitoring'!H:H,"&gt;200000"))</f>
        <v/>
      </c>
      <c r="E20" s="29" t="str">
        <f ca="1">IF(A20="","",COUNTIFS('Bid Monitoring'!A:A,A20,'Bid Monitoring'!L:L,"High"))</f>
        <v/>
      </c>
      <c r="F20" s="29" t="str">
        <f ca="1">IF(A20="","",COUNTIFS('Bid Monitoring'!A:A,A20,'Bid Monitoring'!K:K,"&gt;=0",'Bid Monitoring'!K:K,"&lt;=7"))</f>
        <v/>
      </c>
      <c r="G20" s="29" t="str">
        <f ca="1">IF(A20="","",COUNTIFS('Bid Monitoring'!A:A,A20,'Bid Monitoring'!U:U,"✅ Highly Recommended"))</f>
        <v/>
      </c>
      <c r="H20" s="29" t="str">
        <f>IF(A20="","",COUNTIFS('Bid Monitoring'!P:P,A20))</f>
        <v/>
      </c>
      <c r="I20" s="29"/>
      <c r="J20" s="29"/>
    </row>
    <row r="21" ht="21.75" customHeight="1" spans="1:10">
      <c r="A21" s="53"/>
      <c r="B21" s="54" t="str">
        <f t="shared" si="0"/>
        <v/>
      </c>
      <c r="C21" s="54" t="str">
        <f>IF(A21="","",COUNTIFS('Bid Monitoring'!A:A,A21))</f>
        <v/>
      </c>
      <c r="D21" s="54" t="str">
        <f>IF(A21="","",COUNTIFS('Bid Monitoring'!A:A,A21,'Bid Monitoring'!H:H,"&gt;200000"))</f>
        <v/>
      </c>
      <c r="E21" s="54" t="str">
        <f ca="1">IF(A21="","",COUNTIFS('Bid Monitoring'!A:A,A21,'Bid Monitoring'!L:L,"High"))</f>
        <v/>
      </c>
      <c r="F21" s="54" t="str">
        <f ca="1">IF(A21="","",COUNTIFS('Bid Monitoring'!A:A,A21,'Bid Monitoring'!K:K,"&gt;=0",'Bid Monitoring'!K:K,"&lt;=7"))</f>
        <v/>
      </c>
      <c r="G21" s="54" t="str">
        <f ca="1">IF(A21="","",COUNTIFS('Bid Monitoring'!A:A,A21,'Bid Monitoring'!U:U,"✅ Highly Recommended"))</f>
        <v/>
      </c>
      <c r="H21" s="54" t="str">
        <f>IF(A21="","",COUNTIFS('Bid Monitoring'!P:P,A21))</f>
        <v/>
      </c>
      <c r="I21" s="54"/>
      <c r="J21" s="54"/>
    </row>
    <row r="22" ht="21.75" customHeight="1" spans="1:10">
      <c r="A22" s="43"/>
      <c r="B22" s="29" t="str">
        <f t="shared" si="0"/>
        <v/>
      </c>
      <c r="C22" s="29" t="str">
        <f>IF(A22="","",COUNTIFS('Bid Monitoring'!A:A,A22))</f>
        <v/>
      </c>
      <c r="D22" s="29" t="str">
        <f>IF(A22="","",COUNTIFS('Bid Monitoring'!A:A,A22,'Bid Monitoring'!H:H,"&gt;200000"))</f>
        <v/>
      </c>
      <c r="E22" s="29" t="str">
        <f ca="1">IF(A22="","",COUNTIFS('Bid Monitoring'!A:A,A22,'Bid Monitoring'!L:L,"High"))</f>
        <v/>
      </c>
      <c r="F22" s="29" t="str">
        <f ca="1">IF(A22="","",COUNTIFS('Bid Monitoring'!A:A,A22,'Bid Monitoring'!K:K,"&gt;=0",'Bid Monitoring'!K:K,"&lt;=7"))</f>
        <v/>
      </c>
      <c r="G22" s="29" t="str">
        <f ca="1">IF(A22="","",COUNTIFS('Bid Monitoring'!A:A,A22,'Bid Monitoring'!U:U,"✅ Highly Recommended"))</f>
        <v/>
      </c>
      <c r="H22" s="29" t="str">
        <f>IF(A22="","",COUNTIFS('Bid Monitoring'!P:P,A22))</f>
        <v/>
      </c>
      <c r="I22" s="29"/>
      <c r="J22" s="29"/>
    </row>
    <row r="23" ht="21.75" customHeight="1" spans="1:10">
      <c r="A23" s="53"/>
      <c r="B23" s="54" t="str">
        <f t="shared" si="0"/>
        <v/>
      </c>
      <c r="C23" s="54" t="str">
        <f>IF(A23="","",COUNTIFS('Bid Monitoring'!A:A,A23))</f>
        <v/>
      </c>
      <c r="D23" s="54" t="str">
        <f>IF(A23="","",COUNTIFS('Bid Monitoring'!A:A,A23,'Bid Monitoring'!H:H,"&gt;200000"))</f>
        <v/>
      </c>
      <c r="E23" s="54" t="str">
        <f ca="1">IF(A23="","",COUNTIFS('Bid Monitoring'!A:A,A23,'Bid Monitoring'!L:L,"High"))</f>
        <v/>
      </c>
      <c r="F23" s="54" t="str">
        <f ca="1">IF(A23="","",COUNTIFS('Bid Monitoring'!A:A,A23,'Bid Monitoring'!K:K,"&gt;=0",'Bid Monitoring'!K:K,"&lt;=7"))</f>
        <v/>
      </c>
      <c r="G23" s="54" t="str">
        <f ca="1">IF(A23="","",COUNTIFS('Bid Monitoring'!A:A,A23,'Bid Monitoring'!U:U,"✅ Highly Recommended"))</f>
        <v/>
      </c>
      <c r="H23" s="54" t="str">
        <f>IF(A23="","",COUNTIFS('Bid Monitoring'!P:P,A23))</f>
        <v/>
      </c>
      <c r="I23" s="54"/>
      <c r="J23" s="54"/>
    </row>
    <row r="24" ht="21.75" customHeight="1" spans="1:10">
      <c r="A24" s="43"/>
      <c r="B24" s="29" t="str">
        <f t="shared" si="0"/>
        <v/>
      </c>
      <c r="C24" s="29" t="str">
        <f>IF(A24="","",COUNTIFS('Bid Monitoring'!A:A,A24))</f>
        <v/>
      </c>
      <c r="D24" s="29" t="str">
        <f>IF(A24="","",COUNTIFS('Bid Monitoring'!A:A,A24,'Bid Monitoring'!H:H,"&gt;200000"))</f>
        <v/>
      </c>
      <c r="E24" s="29" t="str">
        <f ca="1">IF(A24="","",COUNTIFS('Bid Monitoring'!A:A,A24,'Bid Monitoring'!L:L,"High"))</f>
        <v/>
      </c>
      <c r="F24" s="29" t="str">
        <f ca="1">IF(A24="","",COUNTIFS('Bid Monitoring'!A:A,A24,'Bid Monitoring'!K:K,"&gt;=0",'Bid Monitoring'!K:K,"&lt;=7"))</f>
        <v/>
      </c>
      <c r="G24" s="29" t="str">
        <f ca="1">IF(A24="","",COUNTIFS('Bid Monitoring'!A:A,A24,'Bid Monitoring'!U:U,"✅ Highly Recommended"))</f>
        <v/>
      </c>
      <c r="H24" s="29" t="str">
        <f>IF(A24="","",COUNTIFS('Bid Monitoring'!P:P,A24))</f>
        <v/>
      </c>
      <c r="I24" s="29"/>
      <c r="J24" s="29"/>
    </row>
    <row r="25" ht="21.75" customHeight="1" spans="1:10">
      <c r="A25" s="53"/>
      <c r="B25" s="54" t="str">
        <f t="shared" si="0"/>
        <v/>
      </c>
      <c r="C25" s="54" t="str">
        <f>IF(A25="","",COUNTIFS('Bid Monitoring'!A:A,A25))</f>
        <v/>
      </c>
      <c r="D25" s="54" t="str">
        <f>IF(A25="","",COUNTIFS('Bid Monitoring'!A:A,A25,'Bid Monitoring'!H:H,"&gt;200000"))</f>
        <v/>
      </c>
      <c r="E25" s="54" t="str">
        <f ca="1">IF(A25="","",COUNTIFS('Bid Monitoring'!A:A,A25,'Bid Monitoring'!L:L,"High"))</f>
        <v/>
      </c>
      <c r="F25" s="54" t="str">
        <f ca="1">IF(A25="","",COUNTIFS('Bid Monitoring'!A:A,A25,'Bid Monitoring'!K:K,"&gt;=0",'Bid Monitoring'!K:K,"&lt;=7"))</f>
        <v/>
      </c>
      <c r="G25" s="54" t="str">
        <f ca="1">IF(A25="","",COUNTIFS('Bid Monitoring'!A:A,A25,'Bid Monitoring'!U:U,"✅ Highly Recommended"))</f>
        <v/>
      </c>
      <c r="H25" s="54" t="str">
        <f>IF(A25="","",COUNTIFS('Bid Monitoring'!P:P,A25))</f>
        <v/>
      </c>
      <c r="I25" s="54"/>
      <c r="J25" s="54"/>
    </row>
    <row r="26" ht="21.75" customHeight="1" spans="1:10">
      <c r="A26" s="43"/>
      <c r="B26" s="29" t="str">
        <f t="shared" si="0"/>
        <v/>
      </c>
      <c r="C26" s="29" t="str">
        <f>IF(A26="","",COUNTIFS('Bid Monitoring'!A:A,A26))</f>
        <v/>
      </c>
      <c r="D26" s="29" t="str">
        <f>IF(A26="","",COUNTIFS('Bid Monitoring'!A:A,A26,'Bid Monitoring'!H:H,"&gt;200000"))</f>
        <v/>
      </c>
      <c r="E26" s="29" t="str">
        <f ca="1">IF(A26="","",COUNTIFS('Bid Monitoring'!A:A,A26,'Bid Monitoring'!L:L,"High"))</f>
        <v/>
      </c>
      <c r="F26" s="29" t="str">
        <f ca="1">IF(A26="","",COUNTIFS('Bid Monitoring'!A:A,A26,'Bid Monitoring'!K:K,"&gt;=0",'Bid Monitoring'!K:K,"&lt;=7"))</f>
        <v/>
      </c>
      <c r="G26" s="29" t="str">
        <f ca="1">IF(A26="","",COUNTIFS('Bid Monitoring'!A:A,A26,'Bid Monitoring'!U:U,"✅ Highly Recommended"))</f>
        <v/>
      </c>
      <c r="H26" s="29" t="str">
        <f>IF(A26="","",COUNTIFS('Bid Monitoring'!P:P,A26))</f>
        <v/>
      </c>
      <c r="I26" s="29"/>
      <c r="J26" s="29"/>
    </row>
    <row r="27" ht="21.75" customHeight="1" spans="1:10">
      <c r="A27" s="53"/>
      <c r="B27" s="54" t="str">
        <f t="shared" si="0"/>
        <v/>
      </c>
      <c r="C27" s="54" t="str">
        <f>IF(A27="","",COUNTIFS('Bid Monitoring'!A:A,A27))</f>
        <v/>
      </c>
      <c r="D27" s="54" t="str">
        <f>IF(A27="","",COUNTIFS('Bid Monitoring'!A:A,A27,'Bid Monitoring'!H:H,"&gt;200000"))</f>
        <v/>
      </c>
      <c r="E27" s="54" t="str">
        <f ca="1">IF(A27="","",COUNTIFS('Bid Monitoring'!A:A,A27,'Bid Monitoring'!L:L,"High"))</f>
        <v/>
      </c>
      <c r="F27" s="54" t="str">
        <f ca="1">IF(A27="","",COUNTIFS('Bid Monitoring'!A:A,A27,'Bid Monitoring'!K:K,"&gt;=0",'Bid Monitoring'!K:K,"&lt;=7"))</f>
        <v/>
      </c>
      <c r="G27" s="54" t="str">
        <f ca="1">IF(A27="","",COUNTIFS('Bid Monitoring'!A:A,A27,'Bid Monitoring'!U:U,"✅ Highly Recommended"))</f>
        <v/>
      </c>
      <c r="H27" s="54" t="str">
        <f>IF(A27="","",COUNTIFS('Bid Monitoring'!P:P,A27))</f>
        <v/>
      </c>
      <c r="I27" s="54"/>
      <c r="J27" s="54"/>
    </row>
    <row r="28" ht="21.75" customHeight="1" spans="1:10">
      <c r="A28" s="43"/>
      <c r="B28" s="29" t="str">
        <f t="shared" si="0"/>
        <v/>
      </c>
      <c r="C28" s="29" t="str">
        <f>IF(A28="","",COUNTIFS('Bid Monitoring'!A:A,A28))</f>
        <v/>
      </c>
      <c r="D28" s="29" t="str">
        <f>IF(A28="","",COUNTIFS('Bid Monitoring'!A:A,A28,'Bid Monitoring'!H:H,"&gt;200000"))</f>
        <v/>
      </c>
      <c r="E28" s="29" t="str">
        <f ca="1">IF(A28="","",COUNTIFS('Bid Monitoring'!A:A,A28,'Bid Monitoring'!L:L,"High"))</f>
        <v/>
      </c>
      <c r="F28" s="29" t="str">
        <f ca="1">IF(A28="","",COUNTIFS('Bid Monitoring'!A:A,A28,'Bid Monitoring'!K:K,"&gt;=0",'Bid Monitoring'!K:K,"&lt;=7"))</f>
        <v/>
      </c>
      <c r="G28" s="29" t="str">
        <f ca="1">IF(A28="","",COUNTIFS('Bid Monitoring'!A:A,A28,'Bid Monitoring'!U:U,"✅ Highly Recommended"))</f>
        <v/>
      </c>
      <c r="H28" s="29" t="str">
        <f>IF(A28="","",COUNTIFS('Bid Monitoring'!P:P,A28))</f>
        <v/>
      </c>
      <c r="I28" s="29"/>
      <c r="J28" s="29"/>
    </row>
    <row r="29" ht="21.75" customHeight="1" spans="1:10">
      <c r="A29" s="53"/>
      <c r="B29" s="54" t="str">
        <f t="shared" si="0"/>
        <v/>
      </c>
      <c r="C29" s="54" t="str">
        <f>IF(A29="","",COUNTIFS('Bid Monitoring'!A:A,A29))</f>
        <v/>
      </c>
      <c r="D29" s="54" t="str">
        <f>IF(A29="","",COUNTIFS('Bid Monitoring'!A:A,A29,'Bid Monitoring'!H:H,"&gt;200000"))</f>
        <v/>
      </c>
      <c r="E29" s="54" t="str">
        <f ca="1">IF(A29="","",COUNTIFS('Bid Monitoring'!A:A,A29,'Bid Monitoring'!L:L,"High"))</f>
        <v/>
      </c>
      <c r="F29" s="54" t="str">
        <f ca="1">IF(A29="","",COUNTIFS('Bid Monitoring'!A:A,A29,'Bid Monitoring'!K:K,"&gt;=0",'Bid Monitoring'!K:K,"&lt;=7"))</f>
        <v/>
      </c>
      <c r="G29" s="54" t="str">
        <f ca="1">IF(A29="","",COUNTIFS('Bid Monitoring'!A:A,A29,'Bid Monitoring'!U:U,"✅ Highly Recommended"))</f>
        <v/>
      </c>
      <c r="H29" s="54" t="str">
        <f>IF(A29="","",COUNTIFS('Bid Monitoring'!P:P,A29))</f>
        <v/>
      </c>
      <c r="I29" s="54"/>
      <c r="J29" s="54"/>
    </row>
    <row r="30" ht="21.75" customHeight="1" spans="1:10">
      <c r="A30" s="43"/>
      <c r="B30" s="29" t="str">
        <f t="shared" si="0"/>
        <v/>
      </c>
      <c r="C30" s="29" t="str">
        <f>IF(A30="","",COUNTIFS('Bid Monitoring'!A:A,A30))</f>
        <v/>
      </c>
      <c r="D30" s="29" t="str">
        <f>IF(A30="","",COUNTIFS('Bid Monitoring'!A:A,A30,'Bid Monitoring'!H:H,"&gt;200000"))</f>
        <v/>
      </c>
      <c r="E30" s="29" t="str">
        <f ca="1">IF(A30="","",COUNTIFS('Bid Monitoring'!A:A,A30,'Bid Monitoring'!L:L,"High"))</f>
        <v/>
      </c>
      <c r="F30" s="29" t="str">
        <f ca="1">IF(A30="","",COUNTIFS('Bid Monitoring'!A:A,A30,'Bid Monitoring'!K:K,"&gt;=0",'Bid Monitoring'!K:K,"&lt;=7"))</f>
        <v/>
      </c>
      <c r="G30" s="29" t="str">
        <f ca="1">IF(A30="","",COUNTIFS('Bid Monitoring'!A:A,A30,'Bid Monitoring'!U:U,"✅ Highly Recommended"))</f>
        <v/>
      </c>
      <c r="H30" s="29" t="str">
        <f>IF(A30="","",COUNTIFS('Bid Monitoring'!P:P,A30))</f>
        <v/>
      </c>
      <c r="I30" s="29"/>
      <c r="J30" s="29"/>
    </row>
    <row r="31" ht="21.75" customHeight="1" spans="1:10">
      <c r="A31" s="53"/>
      <c r="B31" s="54" t="str">
        <f t="shared" si="0"/>
        <v/>
      </c>
      <c r="C31" s="54" t="str">
        <f>IF(A31="","",COUNTIFS('Bid Monitoring'!A:A,A31))</f>
        <v/>
      </c>
      <c r="D31" s="54" t="str">
        <f>IF(A31="","",COUNTIFS('Bid Monitoring'!A:A,A31,'Bid Monitoring'!H:H,"&gt;200000"))</f>
        <v/>
      </c>
      <c r="E31" s="54" t="str">
        <f ca="1">IF(A31="","",COUNTIFS('Bid Monitoring'!A:A,A31,'Bid Monitoring'!L:L,"High"))</f>
        <v/>
      </c>
      <c r="F31" s="54" t="str">
        <f ca="1">IF(A31="","",COUNTIFS('Bid Monitoring'!A:A,A31,'Bid Monitoring'!K:K,"&gt;=0",'Bid Monitoring'!K:K,"&lt;=7"))</f>
        <v/>
      </c>
      <c r="G31" s="54" t="str">
        <f ca="1">IF(A31="","",COUNTIFS('Bid Monitoring'!A:A,A31,'Bid Monitoring'!U:U,"✅ Highly Recommended"))</f>
        <v/>
      </c>
      <c r="H31" s="54" t="str">
        <f>IF(A31="","",COUNTIFS('Bid Monitoring'!P:P,A31))</f>
        <v/>
      </c>
      <c r="I31" s="54"/>
      <c r="J31" s="54"/>
    </row>
    <row r="32" ht="21.75" customHeight="1" spans="1:10">
      <c r="A32" s="43"/>
      <c r="B32" s="29" t="str">
        <f t="shared" si="0"/>
        <v/>
      </c>
      <c r="C32" s="29" t="str">
        <f>IF(A32="","",COUNTIFS('Bid Monitoring'!A:A,A32))</f>
        <v/>
      </c>
      <c r="D32" s="29" t="str">
        <f>IF(A32="","",COUNTIFS('Bid Monitoring'!A:A,A32,'Bid Monitoring'!H:H,"&gt;200000"))</f>
        <v/>
      </c>
      <c r="E32" s="29" t="str">
        <f ca="1">IF(A32="","",COUNTIFS('Bid Monitoring'!A:A,A32,'Bid Monitoring'!L:L,"High"))</f>
        <v/>
      </c>
      <c r="F32" s="29" t="str">
        <f ca="1">IF(A32="","",COUNTIFS('Bid Monitoring'!A:A,A32,'Bid Monitoring'!K:K,"&gt;=0",'Bid Monitoring'!K:K,"&lt;=7"))</f>
        <v/>
      </c>
      <c r="G32" s="29" t="str">
        <f ca="1">IF(A32="","",COUNTIFS('Bid Monitoring'!A:A,A32,'Bid Monitoring'!U:U,"✅ Highly Recommended"))</f>
        <v/>
      </c>
      <c r="H32" s="29" t="str">
        <f>IF(A32="","",COUNTIFS('Bid Monitoring'!P:P,A32))</f>
        <v/>
      </c>
      <c r="I32" s="29"/>
      <c r="J32" s="29"/>
    </row>
    <row r="33" ht="21.75" customHeight="1" spans="1:10">
      <c r="A33" s="53"/>
      <c r="B33" s="54" t="str">
        <f t="shared" si="0"/>
        <v/>
      </c>
      <c r="C33" s="54" t="str">
        <f>IF(A33="","",COUNTIFS('Bid Monitoring'!A:A,A33))</f>
        <v/>
      </c>
      <c r="D33" s="54" t="str">
        <f>IF(A33="","",COUNTIFS('Bid Monitoring'!A:A,A33,'Bid Monitoring'!H:H,"&gt;200000"))</f>
        <v/>
      </c>
      <c r="E33" s="54" t="str">
        <f ca="1">IF(A33="","",COUNTIFS('Bid Monitoring'!A:A,A33,'Bid Monitoring'!L:L,"High"))</f>
        <v/>
      </c>
      <c r="F33" s="54" t="str">
        <f ca="1">IF(A33="","",COUNTIFS('Bid Monitoring'!A:A,A33,'Bid Monitoring'!K:K,"&gt;=0",'Bid Monitoring'!K:K,"&lt;=7"))</f>
        <v/>
      </c>
      <c r="G33" s="54" t="str">
        <f ca="1">IF(A33="","",COUNTIFS('Bid Monitoring'!A:A,A33,'Bid Monitoring'!U:U,"✅ Highly Recommended"))</f>
        <v/>
      </c>
      <c r="H33" s="54" t="str">
        <f>IF(A33="","",COUNTIFS('Bid Monitoring'!P:P,A33))</f>
        <v/>
      </c>
      <c r="I33" s="54"/>
      <c r="J33" s="54"/>
    </row>
    <row r="34" ht="7.5" customHeight="1" spans="1:10">
      <c r="A34" s="55"/>
      <c r="B34" s="55"/>
      <c r="C34" s="55"/>
      <c r="D34" s="55"/>
      <c r="E34" s="55"/>
      <c r="F34" s="55"/>
      <c r="G34" s="55"/>
      <c r="H34" s="55"/>
    </row>
    <row r="35" ht="24" customHeight="1" spans="1:10">
      <c r="A35" s="56" t="s">
        <v>234</v>
      </c>
      <c r="B35" s="56"/>
      <c r="C35" s="56"/>
      <c r="D35" s="56"/>
      <c r="E35" s="56"/>
      <c r="F35" s="56"/>
      <c r="G35" s="56"/>
      <c r="H35" s="56"/>
      <c r="I35" s="56"/>
      <c r="J35" s="56"/>
    </row>
    <row r="36" ht="24" customHeight="1" spans="1:10">
      <c r="B36" s="57">
        <f>COUNTA(B4:B33)</f>
        <v>30</v>
      </c>
      <c r="C36" s="57">
        <f t="shared" ref="C36:H36" si="1">SUM(C4:C33)</f>
        <v>20</v>
      </c>
      <c r="D36" s="57">
        <f t="shared" si="1"/>
        <v>20</v>
      </c>
      <c r="E36" s="57">
        <f ca="1" t="shared" si="1"/>
        <v>14</v>
      </c>
      <c r="F36" s="57">
        <f ca="1" t="shared" si="1"/>
        <v>1</v>
      </c>
      <c r="G36" s="57">
        <f ca="1" t="shared" si="1"/>
        <v>0</v>
      </c>
      <c r="H36" s="57">
        <f t="shared" si="1"/>
        <v>0</v>
      </c>
    </row>
    <row r="37" ht="19.5" customHeight="1" spans="1:10">
      <c r="A37" s="58" t="s">
        <v>235</v>
      </c>
    </row>
  </sheetData>
  <mergeCells count="4">
    <mergeCell ref="A1:H1"/>
    <mergeCell ref="A2:J2"/>
    <mergeCell ref="A34:H34"/>
    <mergeCell ref="A35:J3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showGridLines="0" topLeftCell="C1" workbookViewId="0">
      <pane ySplit="3" topLeftCell="A4" activePane="bottomLeft" state="frozen"/>
      <selection/>
      <selection pane="bottomLeft" activeCell="H9" sqref="H9"/>
    </sheetView>
  </sheetViews>
  <sheetFormatPr defaultColWidth="8.71428571428571" defaultRowHeight="15"/>
  <cols>
    <col min="1" max="1" width="15" style="1" customWidth="1"/>
    <col min="2" max="2" width="84.5714285714286" style="1" customWidth="1"/>
    <col min="3" max="3" width="71.7142857142857" style="1" customWidth="1"/>
    <col min="4" max="7" width="14" style="1" customWidth="1"/>
    <col min="8" max="9" width="16" style="1" customWidth="1"/>
    <col min="10" max="10" width="13" style="1" customWidth="1"/>
    <col min="11" max="11" width="15" style="1" customWidth="1"/>
    <col min="12" max="12" width="13" style="1" customWidth="1"/>
    <col min="13" max="13" width="25" style="1" customWidth="1"/>
  </cols>
  <sheetData>
    <row r="1" ht="37.5" customHeight="1" spans="1:13">
      <c r="A1" s="38" t="s">
        <v>236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ht="19.5" customHeight="1" spans="1:13">
      <c r="A2" s="39" t="s">
        <v>237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ht="34.5" customHeight="1" spans="1:13">
      <c r="A3" s="40" t="s">
        <v>48</v>
      </c>
      <c r="B3" s="40" t="s">
        <v>238</v>
      </c>
      <c r="C3" s="40" t="s">
        <v>239</v>
      </c>
      <c r="D3" s="40" t="s">
        <v>240</v>
      </c>
      <c r="E3" s="40" t="s">
        <v>241</v>
      </c>
      <c r="F3" s="40" t="s">
        <v>242</v>
      </c>
      <c r="G3" s="40" t="s">
        <v>243</v>
      </c>
      <c r="H3" s="40" t="s">
        <v>37</v>
      </c>
      <c r="I3" s="40" t="s">
        <v>244</v>
      </c>
      <c r="J3" s="40" t="s">
        <v>245</v>
      </c>
      <c r="K3" s="40" t="s">
        <v>246</v>
      </c>
      <c r="L3" s="40" t="s">
        <v>247</v>
      </c>
      <c r="M3" s="40" t="s">
        <v>54</v>
      </c>
    </row>
    <row r="4" ht="21.75" customHeight="1" spans="1:13">
      <c r="A4" s="29">
        <v>13029937</v>
      </c>
      <c r="B4" s="41" t="str">
        <f>IF(A4="","",IFERROR(INDEX('Bid Monitoring'!D:D,MATCH(A4,'Bid Monitoring'!B:B,0)),"Not Found"))</f>
        <v>PURCHASE OF OFFICE SUPPLIES FOR JULY AND AUGUST FOR 4Ps USE</v>
      </c>
      <c r="C4" s="29" t="str">
        <f>IF(A4="","",IFERROR(INDEX('Bid Monitoring'!C:C,MATCH(A4,'Bid Monitoring'!B:B,0)),"Not Found"))</f>
        <v>DEPARTMENT OF SOCIAL WELFARE AND DEVELOPMENT -CARAGA</v>
      </c>
      <c r="D4" s="42">
        <f>IF(A4="","",IFERROR(INDEX('Bid Monitoring'!H:H,MATCH(A4,'Bid Monitoring'!B:B,0)),0))</f>
        <v>920450</v>
      </c>
      <c r="E4" s="43"/>
      <c r="F4" s="29"/>
      <c r="G4" s="42"/>
      <c r="H4" s="29" t="str">
        <f>IF(A4="","",IFERROR(INDEX('Bid Monitoring'!N:N,MATCH(A4,'Bid Monitoring'!B:B,0)),"Not Found"))</f>
        <v>Submitted</v>
      </c>
      <c r="I4" s="29"/>
      <c r="J4" s="43"/>
      <c r="K4" s="42"/>
      <c r="L4" s="44" t="str">
        <f t="shared" ref="L4:L67" si="0">IF(OR(K4=0,K4=""),"",IFERROR((K4-G4)/K4,0))</f>
        <v/>
      </c>
      <c r="M4" s="29"/>
    </row>
    <row r="5" ht="21.75" customHeight="1" spans="1:13">
      <c r="A5" s="45">
        <v>13025115</v>
      </c>
      <c r="B5" s="46" t="str">
        <f>IF(A5="","",IFERROR(INDEX('Bid Monitoring'!D:D,MATCH(A5,'Bid Monitoring'!B:B,0)),"Not Found"))</f>
        <v>SUBSIDIES EXPENSE: HFG RESIDENT'S SCHOOL SUPPLIES, CY 2026</v>
      </c>
      <c r="C5" s="45" t="str">
        <f>IF(A5="","",IFERROR(INDEX('Bid Monitoring'!C:C,MATCH(A5,'Bid Monitoring'!B:B,0)),"Not Found"))</f>
        <v>DEPARTMENT OF SOCIAL WELFARE AND DEVELOPMENT -CARAGA</v>
      </c>
      <c r="D5" s="47">
        <f>IF(A5="","",IFERROR(INDEX('Bid Monitoring'!H:H,MATCH(A5,'Bid Monitoring'!B:B,0)),0))</f>
        <v>209927</v>
      </c>
      <c r="E5" s="48"/>
      <c r="F5" s="45"/>
      <c r="G5" s="47"/>
      <c r="H5" s="45" t="str">
        <f>IF(A5="","",IFERROR(INDEX('Bid Monitoring'!N:N,MATCH(A5,'Bid Monitoring'!B:B,0)),"Not Found"))</f>
        <v>Submitted</v>
      </c>
      <c r="I5" s="45"/>
      <c r="J5" s="48"/>
      <c r="K5" s="47"/>
      <c r="L5" s="49" t="str">
        <f t="shared" si="0"/>
        <v/>
      </c>
      <c r="M5" s="45"/>
    </row>
    <row r="6" ht="21.75" customHeight="1" spans="1:13">
      <c r="A6" s="29">
        <v>13035898</v>
      </c>
      <c r="B6" s="41" t="str">
        <f>IF(A6="","",IFERROR(INDEX('Bid Monitoring'!D:D,MATCH(A6,'Bid Monitoring'!B:B,0)),"Not Found"))</f>
        <v>TOKEN AND AWARDS</v>
      </c>
      <c r="C6" s="29" t="str">
        <f>IF(A6="","",IFERROR(INDEX('Bid Monitoring'!C:C,MATCH(A6,'Bid Monitoring'!B:B,0)),"Not Found"))</f>
        <v>DEPARTMENT OF HEALTH - CARAGA</v>
      </c>
      <c r="D6" s="42">
        <f>IF(A6="","",IFERROR(INDEX('Bid Monitoring'!H:H,MATCH(A6,'Bid Monitoring'!B:B,0)),0))</f>
        <v>330240</v>
      </c>
      <c r="E6" s="43"/>
      <c r="F6" s="29"/>
      <c r="G6" s="42"/>
      <c r="H6" s="29" t="str">
        <f>IF(A6="","",IFERROR(INDEX('Bid Monitoring'!N:N,MATCH(A6,'Bid Monitoring'!B:B,0)),"Not Found"))</f>
        <v>Submitted</v>
      </c>
      <c r="I6" s="29"/>
      <c r="J6" s="43"/>
      <c r="K6" s="42"/>
      <c r="L6" s="44" t="str">
        <f t="shared" si="0"/>
        <v/>
      </c>
      <c r="M6" s="29"/>
    </row>
    <row r="7" ht="21.75" customHeight="1" spans="1:13">
      <c r="A7" s="45">
        <v>13030274</v>
      </c>
      <c r="B7" s="46" t="str">
        <f>IF(A7="","",IFERROR(INDEX('Bid Monitoring'!D:D,MATCH(A7,'Bid Monitoring'!B:B,0)),"Not Found"))</f>
        <v>PURCHASE OF OFFICE SUPPLIES FOR JULY AND AUGUST FOR 4Ps USE (INK CARTRIDGE)</v>
      </c>
      <c r="C7" s="45" t="str">
        <f>IF(A7="","",IFERROR(INDEX('Bid Monitoring'!C:C,MATCH(A7,'Bid Monitoring'!B:B,0)),"Not Found"))</f>
        <v>DEPARTMENT OF SOCIAL WELFARE AND DEVELOPMENT -CARAGA</v>
      </c>
      <c r="D7" s="47">
        <f>IF(A7="","",IFERROR(INDEX('Bid Monitoring'!H:H,MATCH(A7,'Bid Monitoring'!B:B,0)),0))</f>
        <v>571100</v>
      </c>
      <c r="E7" s="48"/>
      <c r="F7" s="45"/>
      <c r="G7" s="47"/>
      <c r="H7" s="45" t="str">
        <f>IF(A7="","",IFERROR(INDEX('Bid Monitoring'!N:N,MATCH(A7,'Bid Monitoring'!B:B,0)),"Not Found"))</f>
        <v>Submitted</v>
      </c>
      <c r="I7" s="45"/>
      <c r="J7" s="48"/>
      <c r="K7" s="47"/>
      <c r="L7" s="49" t="str">
        <f t="shared" si="0"/>
        <v/>
      </c>
      <c r="M7" s="45"/>
    </row>
    <row r="8" ht="21.75" customHeight="1" spans="1:13">
      <c r="A8" s="29"/>
      <c r="B8" s="41" t="str">
        <f>IF(A8="","",IFERROR(INDEX('Bid Monitoring'!D:D,MATCH(A8,'Bid Monitoring'!B:B,0)),"Not Found"))</f>
        <v/>
      </c>
      <c r="C8" s="29" t="str">
        <f>IF(A8="","",IFERROR(INDEX('Bid Monitoring'!C:C,MATCH(A8,'Bid Monitoring'!B:B,0)),"Not Found"))</f>
        <v/>
      </c>
      <c r="D8" s="42" t="str">
        <f>IF(A8="","",IFERROR(INDEX('Bid Monitoring'!H:H,MATCH(A8,'Bid Monitoring'!B:B,0)),0))</f>
        <v/>
      </c>
      <c r="E8" s="43"/>
      <c r="F8" s="29"/>
      <c r="G8" s="42"/>
      <c r="H8" s="29" t="str">
        <f>IF(A8="","",IFERROR(INDEX('Bid Monitoring'!N:N,MATCH(A8,'Bid Monitoring'!B:B,0)),"Not Found"))</f>
        <v/>
      </c>
      <c r="I8" s="29"/>
      <c r="J8" s="43"/>
      <c r="K8" s="42"/>
      <c r="L8" s="44" t="str">
        <f t="shared" si="0"/>
        <v/>
      </c>
      <c r="M8" s="29"/>
    </row>
    <row r="9" ht="21.75" customHeight="1" spans="1:13">
      <c r="A9" s="45"/>
      <c r="B9" s="46" t="str">
        <f>IF(A9="","",IFERROR(INDEX('Bid Monitoring'!D:D,MATCH(A9,'Bid Monitoring'!B:B,0)),"Not Found"))</f>
        <v/>
      </c>
      <c r="C9" s="45" t="str">
        <f>IF(A9="","",IFERROR(INDEX('Bid Monitoring'!C:C,MATCH(A9,'Bid Monitoring'!B:B,0)),"Not Found"))</f>
        <v/>
      </c>
      <c r="D9" s="47" t="str">
        <f>IF(A9="","",IFERROR(INDEX('Bid Monitoring'!H:H,MATCH(A9,'Bid Monitoring'!B:B,0)),0))</f>
        <v/>
      </c>
      <c r="E9" s="48"/>
      <c r="F9" s="45"/>
      <c r="G9" s="47"/>
      <c r="H9" s="45" t="str">
        <f>IF(A9="","",IFERROR(INDEX('Bid Monitoring'!N:N,MATCH(A9,'Bid Monitoring'!B:B,0)),"Not Found"))</f>
        <v/>
      </c>
      <c r="I9" s="45"/>
      <c r="J9" s="48"/>
      <c r="K9" s="47"/>
      <c r="L9" s="49" t="str">
        <f t="shared" si="0"/>
        <v/>
      </c>
      <c r="M9" s="45"/>
    </row>
    <row r="10" ht="21.75" customHeight="1" spans="1:13">
      <c r="A10" s="29"/>
      <c r="B10" s="41" t="str">
        <f>IF(A10="","",IFERROR(INDEX('Bid Monitoring'!D:D,MATCH(A10,'Bid Monitoring'!B:B,0)),"Not Found"))</f>
        <v/>
      </c>
      <c r="C10" s="29" t="str">
        <f>IF(A10="","",IFERROR(INDEX('Bid Monitoring'!C:C,MATCH(A10,'Bid Monitoring'!B:B,0)),"Not Found"))</f>
        <v/>
      </c>
      <c r="D10" s="42" t="str">
        <f>IF(A10="","",IFERROR(INDEX('Bid Monitoring'!H:H,MATCH(A10,'Bid Monitoring'!B:B,0)),0))</f>
        <v/>
      </c>
      <c r="E10" s="43"/>
      <c r="F10" s="29"/>
      <c r="G10" s="42"/>
      <c r="H10" s="29" t="str">
        <f>IF(A10="","",IFERROR(INDEX('Bid Monitoring'!N:N,MATCH(A10,'Bid Monitoring'!B:B,0)),"Not Found"))</f>
        <v/>
      </c>
      <c r="I10" s="29"/>
      <c r="J10" s="43"/>
      <c r="K10" s="42"/>
      <c r="L10" s="44" t="str">
        <f t="shared" si="0"/>
        <v/>
      </c>
      <c r="M10" s="29"/>
    </row>
    <row r="11" ht="21.75" customHeight="1" spans="1:13">
      <c r="A11" s="45"/>
      <c r="B11" s="46" t="str">
        <f>IF(A11="","",IFERROR(INDEX('Bid Monitoring'!D:D,MATCH(A11,'Bid Monitoring'!B:B,0)),"Not Found"))</f>
        <v/>
      </c>
      <c r="C11" s="45" t="str">
        <f>IF(A11="","",IFERROR(INDEX('Bid Monitoring'!C:C,MATCH(A11,'Bid Monitoring'!B:B,0)),"Not Found"))</f>
        <v/>
      </c>
      <c r="D11" s="47" t="str">
        <f>IF(A11="","",IFERROR(INDEX('Bid Monitoring'!H:H,MATCH(A11,'Bid Monitoring'!B:B,0)),0))</f>
        <v/>
      </c>
      <c r="E11" s="48"/>
      <c r="F11" s="45"/>
      <c r="G11" s="47"/>
      <c r="H11" s="45" t="str">
        <f>IF(A11="","",IFERROR(INDEX('Bid Monitoring'!N:N,MATCH(A11,'Bid Monitoring'!B:B,0)),"Not Found"))</f>
        <v/>
      </c>
      <c r="I11" s="45"/>
      <c r="J11" s="48"/>
      <c r="K11" s="47"/>
      <c r="L11" s="49" t="str">
        <f t="shared" si="0"/>
        <v/>
      </c>
      <c r="M11" s="45"/>
    </row>
    <row r="12" ht="21.75" customHeight="1" spans="1:13">
      <c r="A12" s="29"/>
      <c r="B12" s="41" t="str">
        <f>IF(A12="","",IFERROR(INDEX('Bid Monitoring'!D:D,MATCH(A12,'Bid Monitoring'!B:B,0)),"Not Found"))</f>
        <v/>
      </c>
      <c r="C12" s="29" t="str">
        <f>IF(A12="","",IFERROR(INDEX('Bid Monitoring'!C:C,MATCH(A12,'Bid Monitoring'!B:B,0)),"Not Found"))</f>
        <v/>
      </c>
      <c r="D12" s="42" t="str">
        <f>IF(A12="","",IFERROR(INDEX('Bid Monitoring'!H:H,MATCH(A12,'Bid Monitoring'!B:B,0)),0))</f>
        <v/>
      </c>
      <c r="E12" s="43"/>
      <c r="F12" s="29"/>
      <c r="G12" s="42"/>
      <c r="H12" s="29" t="str">
        <f>IF(A12="","",IFERROR(INDEX('Bid Monitoring'!N:N,MATCH(A12,'Bid Monitoring'!B:B,0)),"Not Found"))</f>
        <v/>
      </c>
      <c r="I12" s="29"/>
      <c r="J12" s="43"/>
      <c r="K12" s="42"/>
      <c r="L12" s="44" t="str">
        <f t="shared" si="0"/>
        <v/>
      </c>
      <c r="M12" s="29"/>
    </row>
    <row r="13" ht="21.75" customHeight="1" spans="1:13">
      <c r="A13" s="45"/>
      <c r="B13" s="46" t="str">
        <f>IF(A13="","",IFERROR(INDEX('Bid Monitoring'!D:D,MATCH(A13,'Bid Monitoring'!B:B,0)),"Not Found"))</f>
        <v/>
      </c>
      <c r="C13" s="45" t="str">
        <f>IF(A13="","",IFERROR(INDEX('Bid Monitoring'!C:C,MATCH(A13,'Bid Monitoring'!B:B,0)),"Not Found"))</f>
        <v/>
      </c>
      <c r="D13" s="47" t="str">
        <f>IF(A13="","",IFERROR(INDEX('Bid Monitoring'!H:H,MATCH(A13,'Bid Monitoring'!B:B,0)),0))</f>
        <v/>
      </c>
      <c r="E13" s="48"/>
      <c r="F13" s="45"/>
      <c r="G13" s="47"/>
      <c r="H13" s="45" t="str">
        <f>IF(A13="","",IFERROR(INDEX('Bid Monitoring'!N:N,MATCH(A13,'Bid Monitoring'!B:B,0)),"Not Found"))</f>
        <v/>
      </c>
      <c r="I13" s="45"/>
      <c r="J13" s="48"/>
      <c r="K13" s="47"/>
      <c r="L13" s="49" t="str">
        <f t="shared" si="0"/>
        <v/>
      </c>
      <c r="M13" s="45"/>
    </row>
    <row r="14" ht="21.75" customHeight="1" spans="1:13">
      <c r="A14" s="29"/>
      <c r="B14" s="41" t="str">
        <f>IF(A14="","",IFERROR(INDEX('Bid Monitoring'!D:D,MATCH(A14,'Bid Monitoring'!B:B,0)),"Not Found"))</f>
        <v/>
      </c>
      <c r="C14" s="29" t="str">
        <f>IF(A14="","",IFERROR(INDEX('Bid Monitoring'!C:C,MATCH(A14,'Bid Monitoring'!B:B,0)),"Not Found"))</f>
        <v/>
      </c>
      <c r="D14" s="42" t="str">
        <f>IF(A14="","",IFERROR(INDEX('Bid Monitoring'!H:H,MATCH(A14,'Bid Monitoring'!B:B,0)),0))</f>
        <v/>
      </c>
      <c r="E14" s="43"/>
      <c r="F14" s="29"/>
      <c r="G14" s="42"/>
      <c r="H14" s="29" t="str">
        <f>IF(A14="","",IFERROR(INDEX('Bid Monitoring'!N:N,MATCH(A14,'Bid Monitoring'!B:B,0)),"Not Found"))</f>
        <v/>
      </c>
      <c r="I14" s="29"/>
      <c r="J14" s="43"/>
      <c r="K14" s="42"/>
      <c r="L14" s="44" t="str">
        <f t="shared" si="0"/>
        <v/>
      </c>
      <c r="M14" s="29"/>
    </row>
    <row r="15" ht="21.75" customHeight="1" spans="1:13">
      <c r="A15" s="45"/>
      <c r="B15" s="46" t="str">
        <f>IF(A15="","",IFERROR(INDEX('Bid Monitoring'!D:D,MATCH(A15,'Bid Monitoring'!B:B,0)),"Not Found"))</f>
        <v/>
      </c>
      <c r="C15" s="45" t="str">
        <f>IF(A15="","",IFERROR(INDEX('Bid Monitoring'!C:C,MATCH(A15,'Bid Monitoring'!B:B,0)),"Not Found"))</f>
        <v/>
      </c>
      <c r="D15" s="47" t="str">
        <f>IF(A15="","",IFERROR(INDEX('Bid Monitoring'!H:H,MATCH(A15,'Bid Monitoring'!B:B,0)),0))</f>
        <v/>
      </c>
      <c r="E15" s="48"/>
      <c r="F15" s="45"/>
      <c r="G15" s="47"/>
      <c r="H15" s="45" t="str">
        <f>IF(A15="","",IFERROR(INDEX('Bid Monitoring'!N:N,MATCH(A15,'Bid Monitoring'!B:B,0)),"Not Found"))</f>
        <v/>
      </c>
      <c r="I15" s="45"/>
      <c r="J15" s="48"/>
      <c r="K15" s="47"/>
      <c r="L15" s="49" t="str">
        <f t="shared" si="0"/>
        <v/>
      </c>
      <c r="M15" s="45"/>
    </row>
    <row r="16" ht="21.75" customHeight="1" spans="1:13">
      <c r="A16" s="29"/>
      <c r="B16" s="41" t="str">
        <f>IF(A16="","",IFERROR(INDEX('Bid Monitoring'!D:D,MATCH(A16,'Bid Monitoring'!B:B,0)),"Not Found"))</f>
        <v/>
      </c>
      <c r="C16" s="29" t="str">
        <f>IF(A16="","",IFERROR(INDEX('Bid Monitoring'!C:C,MATCH(A16,'Bid Monitoring'!B:B,0)),"Not Found"))</f>
        <v/>
      </c>
      <c r="D16" s="42" t="str">
        <f>IF(A16="","",IFERROR(INDEX('Bid Monitoring'!H:H,MATCH(A16,'Bid Monitoring'!B:B,0)),0))</f>
        <v/>
      </c>
      <c r="E16" s="43"/>
      <c r="F16" s="29"/>
      <c r="G16" s="42"/>
      <c r="H16" s="29" t="str">
        <f>IF(A16="","",IFERROR(INDEX('Bid Monitoring'!N:N,MATCH(A16,'Bid Monitoring'!B:B,0)),"Not Found"))</f>
        <v/>
      </c>
      <c r="I16" s="29"/>
      <c r="J16" s="43"/>
      <c r="K16" s="42"/>
      <c r="L16" s="44" t="str">
        <f t="shared" si="0"/>
        <v/>
      </c>
      <c r="M16" s="29"/>
    </row>
    <row r="17" ht="21.75" customHeight="1" spans="1:13">
      <c r="A17" s="45"/>
      <c r="B17" s="46" t="str">
        <f>IF(A17="","",IFERROR(INDEX('Bid Monitoring'!D:D,MATCH(A17,'Bid Monitoring'!B:B,0)),"Not Found"))</f>
        <v/>
      </c>
      <c r="C17" s="45" t="str">
        <f>IF(A17="","",IFERROR(INDEX('Bid Monitoring'!C:C,MATCH(A17,'Bid Monitoring'!B:B,0)),"Not Found"))</f>
        <v/>
      </c>
      <c r="D17" s="47" t="str">
        <f>IF(A17="","",IFERROR(INDEX('Bid Monitoring'!H:H,MATCH(A17,'Bid Monitoring'!B:B,0)),0))</f>
        <v/>
      </c>
      <c r="E17" s="48"/>
      <c r="F17" s="45"/>
      <c r="G17" s="47"/>
      <c r="H17" s="45" t="str">
        <f>IF(A17="","",IFERROR(INDEX('Bid Monitoring'!N:N,MATCH(A17,'Bid Monitoring'!B:B,0)),"Not Found"))</f>
        <v/>
      </c>
      <c r="I17" s="45"/>
      <c r="J17" s="48"/>
      <c r="K17" s="47"/>
      <c r="L17" s="49" t="str">
        <f t="shared" si="0"/>
        <v/>
      </c>
      <c r="M17" s="45"/>
    </row>
    <row r="18" ht="21.75" customHeight="1" spans="1:13">
      <c r="A18" s="29"/>
      <c r="B18" s="41" t="str">
        <f>IF(A18="","",IFERROR(INDEX('Bid Monitoring'!D:D,MATCH(A18,'Bid Monitoring'!B:B,0)),"Not Found"))</f>
        <v/>
      </c>
      <c r="C18" s="29" t="str">
        <f>IF(A18="","",IFERROR(INDEX('Bid Monitoring'!C:C,MATCH(A18,'Bid Monitoring'!B:B,0)),"Not Found"))</f>
        <v/>
      </c>
      <c r="D18" s="42" t="str">
        <f>IF(A18="","",IFERROR(INDEX('Bid Monitoring'!H:H,MATCH(A18,'Bid Monitoring'!B:B,0)),0))</f>
        <v/>
      </c>
      <c r="E18" s="43"/>
      <c r="F18" s="29"/>
      <c r="G18" s="42"/>
      <c r="H18" s="29" t="str">
        <f>IF(A18="","",IFERROR(INDEX('Bid Monitoring'!N:N,MATCH(A18,'Bid Monitoring'!B:B,0)),"Not Found"))</f>
        <v/>
      </c>
      <c r="I18" s="29"/>
      <c r="J18" s="43"/>
      <c r="K18" s="42"/>
      <c r="L18" s="44" t="str">
        <f t="shared" si="0"/>
        <v/>
      </c>
      <c r="M18" s="29"/>
    </row>
    <row r="19" ht="21.75" customHeight="1" spans="1:13">
      <c r="A19" s="45"/>
      <c r="B19" s="46" t="str">
        <f>IF(A19="","",IFERROR(INDEX('Bid Monitoring'!D:D,MATCH(A19,'Bid Monitoring'!B:B,0)),"Not Found"))</f>
        <v/>
      </c>
      <c r="C19" s="45" t="str">
        <f>IF(A19="","",IFERROR(INDEX('Bid Monitoring'!C:C,MATCH(A19,'Bid Monitoring'!B:B,0)),"Not Found"))</f>
        <v/>
      </c>
      <c r="D19" s="47" t="str">
        <f>IF(A19="","",IFERROR(INDEX('Bid Monitoring'!H:H,MATCH(A19,'Bid Monitoring'!B:B,0)),0))</f>
        <v/>
      </c>
      <c r="E19" s="48"/>
      <c r="F19" s="45"/>
      <c r="G19" s="47"/>
      <c r="H19" s="45" t="str">
        <f>IF(A19="","",IFERROR(INDEX('Bid Monitoring'!N:N,MATCH(A19,'Bid Monitoring'!B:B,0)),"Not Found"))</f>
        <v/>
      </c>
      <c r="I19" s="45"/>
      <c r="J19" s="48"/>
      <c r="K19" s="47"/>
      <c r="L19" s="49" t="str">
        <f t="shared" si="0"/>
        <v/>
      </c>
      <c r="M19" s="45"/>
    </row>
    <row r="20" ht="21.75" customHeight="1" spans="1:13">
      <c r="A20" s="29"/>
      <c r="B20" s="41" t="str">
        <f>IF(A20="","",IFERROR(INDEX('Bid Monitoring'!D:D,MATCH(A20,'Bid Monitoring'!B:B,0)),"Not Found"))</f>
        <v/>
      </c>
      <c r="C20" s="29" t="str">
        <f>IF(A20="","",IFERROR(INDEX('Bid Monitoring'!C:C,MATCH(A20,'Bid Monitoring'!B:B,0)),"Not Found"))</f>
        <v/>
      </c>
      <c r="D20" s="42" t="str">
        <f>IF(A20="","",IFERROR(INDEX('Bid Monitoring'!H:H,MATCH(A20,'Bid Monitoring'!B:B,0)),0))</f>
        <v/>
      </c>
      <c r="E20" s="43"/>
      <c r="F20" s="29"/>
      <c r="G20" s="42"/>
      <c r="H20" s="29" t="str">
        <f>IF(A20="","",IFERROR(INDEX('Bid Monitoring'!N:N,MATCH(A20,'Bid Monitoring'!B:B,0)),"Not Found"))</f>
        <v/>
      </c>
      <c r="I20" s="29"/>
      <c r="J20" s="43"/>
      <c r="K20" s="42"/>
      <c r="L20" s="44" t="str">
        <f t="shared" si="0"/>
        <v/>
      </c>
      <c r="M20" s="29"/>
    </row>
    <row r="21" ht="21.75" customHeight="1" spans="1:13">
      <c r="A21" s="45"/>
      <c r="B21" s="46" t="str">
        <f>IF(A21="","",IFERROR(INDEX('Bid Monitoring'!D:D,MATCH(A21,'Bid Monitoring'!B:B,0)),"Not Found"))</f>
        <v/>
      </c>
      <c r="C21" s="45" t="str">
        <f>IF(A21="","",IFERROR(INDEX('Bid Monitoring'!C:C,MATCH(A21,'Bid Monitoring'!B:B,0)),"Not Found"))</f>
        <v/>
      </c>
      <c r="D21" s="47" t="str">
        <f>IF(A21="","",IFERROR(INDEX('Bid Monitoring'!H:H,MATCH(A21,'Bid Monitoring'!B:B,0)),0))</f>
        <v/>
      </c>
      <c r="E21" s="48"/>
      <c r="F21" s="45"/>
      <c r="G21" s="47"/>
      <c r="H21" s="45" t="str">
        <f>IF(A21="","",IFERROR(INDEX('Bid Monitoring'!N:N,MATCH(A21,'Bid Monitoring'!B:B,0)),"Not Found"))</f>
        <v/>
      </c>
      <c r="I21" s="45"/>
      <c r="J21" s="48"/>
      <c r="K21" s="47"/>
      <c r="L21" s="49" t="str">
        <f t="shared" si="0"/>
        <v/>
      </c>
      <c r="M21" s="45"/>
    </row>
    <row r="22" ht="21.75" customHeight="1" spans="1:13">
      <c r="A22" s="29"/>
      <c r="B22" s="41" t="str">
        <f>IF(A22="","",IFERROR(INDEX('Bid Monitoring'!D:D,MATCH(A22,'Bid Monitoring'!B:B,0)),"Not Found"))</f>
        <v/>
      </c>
      <c r="C22" s="29" t="str">
        <f>IF(A22="","",IFERROR(INDEX('Bid Monitoring'!C:C,MATCH(A22,'Bid Monitoring'!B:B,0)),"Not Found"))</f>
        <v/>
      </c>
      <c r="D22" s="42" t="str">
        <f>IF(A22="","",IFERROR(INDEX('Bid Monitoring'!H:H,MATCH(A22,'Bid Monitoring'!B:B,0)),0))</f>
        <v/>
      </c>
      <c r="E22" s="43"/>
      <c r="F22" s="29"/>
      <c r="G22" s="42"/>
      <c r="H22" s="29" t="str">
        <f>IF(A22="","",IFERROR(INDEX('Bid Monitoring'!N:N,MATCH(A22,'Bid Monitoring'!B:B,0)),"Not Found"))</f>
        <v/>
      </c>
      <c r="I22" s="29"/>
      <c r="J22" s="43"/>
      <c r="K22" s="42"/>
      <c r="L22" s="44" t="str">
        <f t="shared" si="0"/>
        <v/>
      </c>
      <c r="M22" s="29"/>
    </row>
    <row r="23" ht="21.75" customHeight="1" spans="1:13">
      <c r="A23" s="45"/>
      <c r="B23" s="46" t="str">
        <f>IF(A23="","",IFERROR(INDEX('Bid Monitoring'!D:D,MATCH(A23,'Bid Monitoring'!B:B,0)),"Not Found"))</f>
        <v/>
      </c>
      <c r="C23" s="45" t="str">
        <f>IF(A23="","",IFERROR(INDEX('Bid Monitoring'!C:C,MATCH(A23,'Bid Monitoring'!B:B,0)),"Not Found"))</f>
        <v/>
      </c>
      <c r="D23" s="47" t="str">
        <f>IF(A23="","",IFERROR(INDEX('Bid Monitoring'!H:H,MATCH(A23,'Bid Monitoring'!B:B,0)),0))</f>
        <v/>
      </c>
      <c r="E23" s="48"/>
      <c r="F23" s="45"/>
      <c r="G23" s="47"/>
      <c r="H23" s="45" t="str">
        <f>IF(A23="","",IFERROR(INDEX('Bid Monitoring'!N:N,MATCH(A23,'Bid Monitoring'!B:B,0)),"Not Found"))</f>
        <v/>
      </c>
      <c r="I23" s="45"/>
      <c r="J23" s="48"/>
      <c r="K23" s="47"/>
      <c r="L23" s="49" t="str">
        <f t="shared" si="0"/>
        <v/>
      </c>
      <c r="M23" s="45"/>
    </row>
    <row r="24" ht="21.75" customHeight="1" spans="1:13">
      <c r="A24" s="29"/>
      <c r="B24" s="41" t="str">
        <f>IF(A24="","",IFERROR(INDEX('Bid Monitoring'!D:D,MATCH(A24,'Bid Monitoring'!B:B,0)),"Not Found"))</f>
        <v/>
      </c>
      <c r="C24" s="29" t="str">
        <f>IF(A24="","",IFERROR(INDEX('Bid Monitoring'!C:C,MATCH(A24,'Bid Monitoring'!B:B,0)),"Not Found"))</f>
        <v/>
      </c>
      <c r="D24" s="42" t="str">
        <f>IF(A24="","",IFERROR(INDEX('Bid Monitoring'!H:H,MATCH(A24,'Bid Monitoring'!B:B,0)),0))</f>
        <v/>
      </c>
      <c r="E24" s="43"/>
      <c r="F24" s="29"/>
      <c r="G24" s="42"/>
      <c r="H24" s="29" t="str">
        <f>IF(A24="","",IFERROR(INDEX('Bid Monitoring'!N:N,MATCH(A24,'Bid Monitoring'!B:B,0)),"Not Found"))</f>
        <v/>
      </c>
      <c r="I24" s="29"/>
      <c r="J24" s="43"/>
      <c r="K24" s="42"/>
      <c r="L24" s="44" t="str">
        <f t="shared" si="0"/>
        <v/>
      </c>
      <c r="M24" s="29"/>
    </row>
    <row r="25" ht="21.75" customHeight="1" spans="1:13">
      <c r="A25" s="45"/>
      <c r="B25" s="46" t="str">
        <f>IF(A25="","",IFERROR(INDEX('Bid Monitoring'!D:D,MATCH(A25,'Bid Monitoring'!B:B,0)),"Not Found"))</f>
        <v/>
      </c>
      <c r="C25" s="45" t="str">
        <f>IF(A25="","",IFERROR(INDEX('Bid Monitoring'!C:C,MATCH(A25,'Bid Monitoring'!B:B,0)),"Not Found"))</f>
        <v/>
      </c>
      <c r="D25" s="47" t="str">
        <f>IF(A25="","",IFERROR(INDEX('Bid Monitoring'!H:H,MATCH(A25,'Bid Monitoring'!B:B,0)),0))</f>
        <v/>
      </c>
      <c r="E25" s="48"/>
      <c r="F25" s="45"/>
      <c r="G25" s="47"/>
      <c r="H25" s="45" t="str">
        <f>IF(A25="","",IFERROR(INDEX('Bid Monitoring'!N:N,MATCH(A25,'Bid Monitoring'!B:B,0)),"Not Found"))</f>
        <v/>
      </c>
      <c r="I25" s="45"/>
      <c r="J25" s="48"/>
      <c r="K25" s="47"/>
      <c r="L25" s="49" t="str">
        <f t="shared" si="0"/>
        <v/>
      </c>
      <c r="M25" s="45"/>
    </row>
    <row r="26" ht="21.75" customHeight="1" spans="1:13">
      <c r="A26" s="29"/>
      <c r="B26" s="41" t="str">
        <f>IF(A26="","",IFERROR(INDEX('Bid Monitoring'!D:D,MATCH(A26,'Bid Monitoring'!B:B,0)),"Not Found"))</f>
        <v/>
      </c>
      <c r="C26" s="29" t="str">
        <f>IF(A26="","",IFERROR(INDEX('Bid Monitoring'!C:C,MATCH(A26,'Bid Monitoring'!B:B,0)),"Not Found"))</f>
        <v/>
      </c>
      <c r="D26" s="42" t="str">
        <f>IF(A26="","",IFERROR(INDEX('Bid Monitoring'!H:H,MATCH(A26,'Bid Monitoring'!B:B,0)),0))</f>
        <v/>
      </c>
      <c r="E26" s="43"/>
      <c r="F26" s="29"/>
      <c r="G26" s="42"/>
      <c r="H26" s="29" t="str">
        <f>IF(A26="","",IFERROR(INDEX('Bid Monitoring'!N:N,MATCH(A26,'Bid Monitoring'!B:B,0)),"Not Found"))</f>
        <v/>
      </c>
      <c r="I26" s="29"/>
      <c r="J26" s="43"/>
      <c r="K26" s="42"/>
      <c r="L26" s="44" t="str">
        <f t="shared" si="0"/>
        <v/>
      </c>
      <c r="M26" s="29"/>
    </row>
    <row r="27" ht="21.75" customHeight="1" spans="1:13">
      <c r="A27" s="45"/>
      <c r="B27" s="46" t="str">
        <f>IF(A27="","",IFERROR(INDEX('Bid Monitoring'!D:D,MATCH(A27,'Bid Monitoring'!B:B,0)),"Not Found"))</f>
        <v/>
      </c>
      <c r="C27" s="45" t="str">
        <f>IF(A27="","",IFERROR(INDEX('Bid Monitoring'!C:C,MATCH(A27,'Bid Monitoring'!B:B,0)),"Not Found"))</f>
        <v/>
      </c>
      <c r="D27" s="47" t="str">
        <f>IF(A27="","",IFERROR(INDEX('Bid Monitoring'!H:H,MATCH(A27,'Bid Monitoring'!B:B,0)),0))</f>
        <v/>
      </c>
      <c r="E27" s="48"/>
      <c r="F27" s="45"/>
      <c r="G27" s="47"/>
      <c r="H27" s="45" t="str">
        <f>IF(A27="","",IFERROR(INDEX('Bid Monitoring'!N:N,MATCH(A27,'Bid Monitoring'!B:B,0)),"Not Found"))</f>
        <v/>
      </c>
      <c r="I27" s="45"/>
      <c r="J27" s="48"/>
      <c r="K27" s="47"/>
      <c r="L27" s="49" t="str">
        <f t="shared" si="0"/>
        <v/>
      </c>
      <c r="M27" s="45"/>
    </row>
    <row r="28" ht="21.75" customHeight="1" spans="1:13">
      <c r="A28" s="29"/>
      <c r="B28" s="41" t="str">
        <f>IF(A28="","",IFERROR(INDEX('Bid Monitoring'!D:D,MATCH(A28,'Bid Monitoring'!B:B,0)),"Not Found"))</f>
        <v/>
      </c>
      <c r="C28" s="29" t="str">
        <f>IF(A28="","",IFERROR(INDEX('Bid Monitoring'!C:C,MATCH(A28,'Bid Monitoring'!B:B,0)),"Not Found"))</f>
        <v/>
      </c>
      <c r="D28" s="42" t="str">
        <f>IF(A28="","",IFERROR(INDEX('Bid Monitoring'!H:H,MATCH(A28,'Bid Monitoring'!B:B,0)),0))</f>
        <v/>
      </c>
      <c r="E28" s="43"/>
      <c r="F28" s="29"/>
      <c r="G28" s="42"/>
      <c r="H28" s="29" t="str">
        <f>IF(A28="","",IFERROR(INDEX('Bid Monitoring'!N:N,MATCH(A28,'Bid Monitoring'!B:B,0)),"Not Found"))</f>
        <v/>
      </c>
      <c r="I28" s="29"/>
      <c r="J28" s="43"/>
      <c r="K28" s="42"/>
      <c r="L28" s="44" t="str">
        <f t="shared" si="0"/>
        <v/>
      </c>
      <c r="M28" s="29"/>
    </row>
    <row r="29" ht="21.75" customHeight="1" spans="1:13">
      <c r="A29" s="45"/>
      <c r="B29" s="46" t="str">
        <f>IF(A29="","",IFERROR(INDEX('Bid Monitoring'!D:D,MATCH(A29,'Bid Monitoring'!B:B,0)),"Not Found"))</f>
        <v/>
      </c>
      <c r="C29" s="45" t="str">
        <f>IF(A29="","",IFERROR(INDEX('Bid Monitoring'!C:C,MATCH(A29,'Bid Monitoring'!B:B,0)),"Not Found"))</f>
        <v/>
      </c>
      <c r="D29" s="47" t="str">
        <f>IF(A29="","",IFERROR(INDEX('Bid Monitoring'!H:H,MATCH(A29,'Bid Monitoring'!B:B,0)),0))</f>
        <v/>
      </c>
      <c r="E29" s="48"/>
      <c r="F29" s="45"/>
      <c r="G29" s="47"/>
      <c r="H29" s="45" t="str">
        <f>IF(A29="","",IFERROR(INDEX('Bid Monitoring'!N:N,MATCH(A29,'Bid Monitoring'!B:B,0)),"Not Found"))</f>
        <v/>
      </c>
      <c r="I29" s="45"/>
      <c r="J29" s="48"/>
      <c r="K29" s="47"/>
      <c r="L29" s="49" t="str">
        <f t="shared" si="0"/>
        <v/>
      </c>
      <c r="M29" s="45"/>
    </row>
    <row r="30" ht="21.75" customHeight="1" spans="1:13">
      <c r="A30" s="29"/>
      <c r="B30" s="41" t="str">
        <f>IF(A30="","",IFERROR(INDEX('Bid Monitoring'!D:D,MATCH(A30,'Bid Monitoring'!B:B,0)),"Not Found"))</f>
        <v/>
      </c>
      <c r="C30" s="29" t="str">
        <f>IF(A30="","",IFERROR(INDEX('Bid Monitoring'!C:C,MATCH(A30,'Bid Monitoring'!B:B,0)),"Not Found"))</f>
        <v/>
      </c>
      <c r="D30" s="42" t="str">
        <f>IF(A30="","",IFERROR(INDEX('Bid Monitoring'!H:H,MATCH(A30,'Bid Monitoring'!B:B,0)),0))</f>
        <v/>
      </c>
      <c r="E30" s="43"/>
      <c r="F30" s="29"/>
      <c r="G30" s="42"/>
      <c r="H30" s="29" t="str">
        <f>IF(A30="","",IFERROR(INDEX('Bid Monitoring'!N:N,MATCH(A30,'Bid Monitoring'!B:B,0)),"Not Found"))</f>
        <v/>
      </c>
      <c r="I30" s="29"/>
      <c r="J30" s="43"/>
      <c r="K30" s="42"/>
      <c r="L30" s="44" t="str">
        <f t="shared" si="0"/>
        <v/>
      </c>
      <c r="M30" s="29"/>
    </row>
    <row r="31" ht="21.75" customHeight="1" spans="1:13">
      <c r="A31" s="45"/>
      <c r="B31" s="46" t="str">
        <f>IF(A31="","",IFERROR(INDEX('Bid Monitoring'!D:D,MATCH(A31,'Bid Monitoring'!B:B,0)),"Not Found"))</f>
        <v/>
      </c>
      <c r="C31" s="45" t="str">
        <f>IF(A31="","",IFERROR(INDEX('Bid Monitoring'!C:C,MATCH(A31,'Bid Monitoring'!B:B,0)),"Not Found"))</f>
        <v/>
      </c>
      <c r="D31" s="47" t="str">
        <f>IF(A31="","",IFERROR(INDEX('Bid Monitoring'!H:H,MATCH(A31,'Bid Monitoring'!B:B,0)),0))</f>
        <v/>
      </c>
      <c r="E31" s="48"/>
      <c r="F31" s="45"/>
      <c r="G31" s="47"/>
      <c r="H31" s="45" t="str">
        <f>IF(A31="","",IFERROR(INDEX('Bid Monitoring'!N:N,MATCH(A31,'Bid Monitoring'!B:B,0)),"Not Found"))</f>
        <v/>
      </c>
      <c r="I31" s="45"/>
      <c r="J31" s="48"/>
      <c r="K31" s="47"/>
      <c r="L31" s="49" t="str">
        <f t="shared" si="0"/>
        <v/>
      </c>
      <c r="M31" s="45"/>
    </row>
    <row r="32" ht="21.75" customHeight="1" spans="1:13">
      <c r="A32" s="29"/>
      <c r="B32" s="41" t="str">
        <f>IF(A32="","",IFERROR(INDEX('Bid Monitoring'!D:D,MATCH(A32,'Bid Monitoring'!B:B,0)),"Not Found"))</f>
        <v/>
      </c>
      <c r="C32" s="29" t="str">
        <f>IF(A32="","",IFERROR(INDEX('Bid Monitoring'!C:C,MATCH(A32,'Bid Monitoring'!B:B,0)),"Not Found"))</f>
        <v/>
      </c>
      <c r="D32" s="42" t="str">
        <f>IF(A32="","",IFERROR(INDEX('Bid Monitoring'!H:H,MATCH(A32,'Bid Monitoring'!B:B,0)),0))</f>
        <v/>
      </c>
      <c r="E32" s="43"/>
      <c r="F32" s="29"/>
      <c r="G32" s="42"/>
      <c r="H32" s="29" t="str">
        <f>IF(A32="","",IFERROR(INDEX('Bid Monitoring'!N:N,MATCH(A32,'Bid Monitoring'!B:B,0)),"Not Found"))</f>
        <v/>
      </c>
      <c r="I32" s="29"/>
      <c r="J32" s="43"/>
      <c r="K32" s="42"/>
      <c r="L32" s="44" t="str">
        <f t="shared" si="0"/>
        <v/>
      </c>
      <c r="M32" s="29"/>
    </row>
    <row r="33" ht="21.75" customHeight="1" spans="1:13">
      <c r="A33" s="45"/>
      <c r="B33" s="46" t="str">
        <f>IF(A33="","",IFERROR(INDEX('Bid Monitoring'!D:D,MATCH(A33,'Bid Monitoring'!B:B,0)),"Not Found"))</f>
        <v/>
      </c>
      <c r="C33" s="45" t="str">
        <f>IF(A33="","",IFERROR(INDEX('Bid Monitoring'!C:C,MATCH(A33,'Bid Monitoring'!B:B,0)),"Not Found"))</f>
        <v/>
      </c>
      <c r="D33" s="47" t="str">
        <f>IF(A33="","",IFERROR(INDEX('Bid Monitoring'!H:H,MATCH(A33,'Bid Monitoring'!B:B,0)),0))</f>
        <v/>
      </c>
      <c r="E33" s="48"/>
      <c r="F33" s="45"/>
      <c r="G33" s="47"/>
      <c r="H33" s="45" t="str">
        <f>IF(A33="","",IFERROR(INDEX('Bid Monitoring'!N:N,MATCH(A33,'Bid Monitoring'!B:B,0)),"Not Found"))</f>
        <v/>
      </c>
      <c r="I33" s="45"/>
      <c r="J33" s="48"/>
      <c r="K33" s="47"/>
      <c r="L33" s="49" t="str">
        <f t="shared" si="0"/>
        <v/>
      </c>
      <c r="M33" s="45"/>
    </row>
    <row r="34" ht="21.75" customHeight="1" spans="1:13">
      <c r="A34" s="29"/>
      <c r="B34" s="41" t="str">
        <f>IF(A34="","",IFERROR(INDEX('Bid Monitoring'!D:D,MATCH(A34,'Bid Monitoring'!B:B,0)),"Not Found"))</f>
        <v/>
      </c>
      <c r="C34" s="29" t="str">
        <f>IF(A34="","",IFERROR(INDEX('Bid Monitoring'!C:C,MATCH(A34,'Bid Monitoring'!B:B,0)),"Not Found"))</f>
        <v/>
      </c>
      <c r="D34" s="42" t="str">
        <f>IF(A34="","",IFERROR(INDEX('Bid Monitoring'!H:H,MATCH(A34,'Bid Monitoring'!B:B,0)),0))</f>
        <v/>
      </c>
      <c r="E34" s="43"/>
      <c r="F34" s="29"/>
      <c r="G34" s="42"/>
      <c r="H34" s="29" t="str">
        <f>IF(A34="","",IFERROR(INDEX('Bid Monitoring'!N:N,MATCH(A34,'Bid Monitoring'!B:B,0)),"Not Found"))</f>
        <v/>
      </c>
      <c r="I34" s="29"/>
      <c r="J34" s="43"/>
      <c r="K34" s="42"/>
      <c r="L34" s="44" t="str">
        <f t="shared" si="0"/>
        <v/>
      </c>
      <c r="M34" s="29"/>
    </row>
    <row r="35" ht="21.75" customHeight="1" spans="1:13">
      <c r="A35" s="45"/>
      <c r="B35" s="46" t="str">
        <f>IF(A35="","",IFERROR(INDEX('Bid Monitoring'!D:D,MATCH(A35,'Bid Monitoring'!B:B,0)),"Not Found"))</f>
        <v/>
      </c>
      <c r="C35" s="45" t="str">
        <f>IF(A35="","",IFERROR(INDEX('Bid Monitoring'!C:C,MATCH(A35,'Bid Monitoring'!B:B,0)),"Not Found"))</f>
        <v/>
      </c>
      <c r="D35" s="47" t="str">
        <f>IF(A35="","",IFERROR(INDEX('Bid Monitoring'!H:H,MATCH(A35,'Bid Monitoring'!B:B,0)),0))</f>
        <v/>
      </c>
      <c r="E35" s="48"/>
      <c r="F35" s="45"/>
      <c r="G35" s="47"/>
      <c r="H35" s="45" t="str">
        <f>IF(A35="","",IFERROR(INDEX('Bid Monitoring'!N:N,MATCH(A35,'Bid Monitoring'!B:B,0)),"Not Found"))</f>
        <v/>
      </c>
      <c r="I35" s="45"/>
      <c r="J35" s="48"/>
      <c r="K35" s="47"/>
      <c r="L35" s="49" t="str">
        <f t="shared" si="0"/>
        <v/>
      </c>
      <c r="M35" s="45"/>
    </row>
    <row r="36" ht="21.75" customHeight="1" spans="1:13">
      <c r="A36" s="29"/>
      <c r="B36" s="41" t="str">
        <f>IF(A36="","",IFERROR(INDEX('Bid Monitoring'!D:D,MATCH(A36,'Bid Monitoring'!B:B,0)),"Not Found"))</f>
        <v/>
      </c>
      <c r="C36" s="29" t="str">
        <f>IF(A36="","",IFERROR(INDEX('Bid Monitoring'!C:C,MATCH(A36,'Bid Monitoring'!B:B,0)),"Not Found"))</f>
        <v/>
      </c>
      <c r="D36" s="42" t="str">
        <f>IF(A36="","",IFERROR(INDEX('Bid Monitoring'!H:H,MATCH(A36,'Bid Monitoring'!B:B,0)),0))</f>
        <v/>
      </c>
      <c r="E36" s="43"/>
      <c r="F36" s="29"/>
      <c r="G36" s="42"/>
      <c r="H36" s="29" t="str">
        <f>IF(A36="","",IFERROR(INDEX('Bid Monitoring'!N:N,MATCH(A36,'Bid Monitoring'!B:B,0)),"Not Found"))</f>
        <v/>
      </c>
      <c r="I36" s="29"/>
      <c r="J36" s="43"/>
      <c r="K36" s="42"/>
      <c r="L36" s="44" t="str">
        <f t="shared" si="0"/>
        <v/>
      </c>
      <c r="M36" s="29"/>
    </row>
    <row r="37" ht="21.75" customHeight="1" spans="1:13">
      <c r="A37" s="45"/>
      <c r="B37" s="46" t="str">
        <f>IF(A37="","",IFERROR(INDEX('Bid Monitoring'!D:D,MATCH(A37,'Bid Monitoring'!B:B,0)),"Not Found"))</f>
        <v/>
      </c>
      <c r="C37" s="45" t="str">
        <f>IF(A37="","",IFERROR(INDEX('Bid Monitoring'!C:C,MATCH(A37,'Bid Monitoring'!B:B,0)),"Not Found"))</f>
        <v/>
      </c>
      <c r="D37" s="47" t="str">
        <f>IF(A37="","",IFERROR(INDEX('Bid Monitoring'!H:H,MATCH(A37,'Bid Monitoring'!B:B,0)),0))</f>
        <v/>
      </c>
      <c r="E37" s="48"/>
      <c r="F37" s="45"/>
      <c r="G37" s="47"/>
      <c r="H37" s="45" t="str">
        <f>IF(A37="","",IFERROR(INDEX('Bid Monitoring'!N:N,MATCH(A37,'Bid Monitoring'!B:B,0)),"Not Found"))</f>
        <v/>
      </c>
      <c r="I37" s="45"/>
      <c r="J37" s="48"/>
      <c r="K37" s="47"/>
      <c r="L37" s="49" t="str">
        <f t="shared" si="0"/>
        <v/>
      </c>
      <c r="M37" s="45"/>
    </row>
    <row r="38" ht="21.75" customHeight="1" spans="1:13">
      <c r="A38" s="29"/>
      <c r="B38" s="41" t="str">
        <f>IF(A38="","",IFERROR(INDEX('Bid Monitoring'!D:D,MATCH(A38,'Bid Monitoring'!B:B,0)),"Not Found"))</f>
        <v/>
      </c>
      <c r="C38" s="29" t="str">
        <f>IF(A38="","",IFERROR(INDEX('Bid Monitoring'!C:C,MATCH(A38,'Bid Monitoring'!B:B,0)),"Not Found"))</f>
        <v/>
      </c>
      <c r="D38" s="42" t="str">
        <f>IF(A38="","",IFERROR(INDEX('Bid Monitoring'!H:H,MATCH(A38,'Bid Monitoring'!B:B,0)),0))</f>
        <v/>
      </c>
      <c r="E38" s="43"/>
      <c r="F38" s="29"/>
      <c r="G38" s="42"/>
      <c r="H38" s="29" t="str">
        <f>IF(A38="","",IFERROR(INDEX('Bid Monitoring'!N:N,MATCH(A38,'Bid Monitoring'!B:B,0)),"Not Found"))</f>
        <v/>
      </c>
      <c r="I38" s="29"/>
      <c r="J38" s="43"/>
      <c r="K38" s="42"/>
      <c r="L38" s="44" t="str">
        <f t="shared" si="0"/>
        <v/>
      </c>
      <c r="M38" s="29"/>
    </row>
    <row r="39" ht="21.75" customHeight="1" spans="1:13">
      <c r="A39" s="45"/>
      <c r="B39" s="46" t="str">
        <f>IF(A39="","",IFERROR(INDEX('Bid Monitoring'!D:D,MATCH(A39,'Bid Monitoring'!B:B,0)),"Not Found"))</f>
        <v/>
      </c>
      <c r="C39" s="45" t="str">
        <f>IF(A39="","",IFERROR(INDEX('Bid Monitoring'!C:C,MATCH(A39,'Bid Monitoring'!B:B,0)),"Not Found"))</f>
        <v/>
      </c>
      <c r="D39" s="47" t="str">
        <f>IF(A39="","",IFERROR(INDEX('Bid Monitoring'!H:H,MATCH(A39,'Bid Monitoring'!B:B,0)),0))</f>
        <v/>
      </c>
      <c r="E39" s="48"/>
      <c r="F39" s="45"/>
      <c r="G39" s="47"/>
      <c r="H39" s="45" t="str">
        <f>IF(A39="","",IFERROR(INDEX('Bid Monitoring'!N:N,MATCH(A39,'Bid Monitoring'!B:B,0)),"Not Found"))</f>
        <v/>
      </c>
      <c r="I39" s="45"/>
      <c r="J39" s="48"/>
      <c r="K39" s="47"/>
      <c r="L39" s="49" t="str">
        <f t="shared" si="0"/>
        <v/>
      </c>
      <c r="M39" s="45"/>
    </row>
    <row r="40" ht="21.75" customHeight="1" spans="1:13">
      <c r="A40" s="29"/>
      <c r="B40" s="41" t="str">
        <f>IF(A40="","",IFERROR(INDEX('Bid Monitoring'!D:D,MATCH(A40,'Bid Monitoring'!B:B,0)),"Not Found"))</f>
        <v/>
      </c>
      <c r="C40" s="29" t="str">
        <f>IF(A40="","",IFERROR(INDEX('Bid Monitoring'!C:C,MATCH(A40,'Bid Monitoring'!B:B,0)),"Not Found"))</f>
        <v/>
      </c>
      <c r="D40" s="42" t="str">
        <f>IF(A40="","",IFERROR(INDEX('Bid Monitoring'!H:H,MATCH(A40,'Bid Monitoring'!B:B,0)),0))</f>
        <v/>
      </c>
      <c r="E40" s="43"/>
      <c r="F40" s="29"/>
      <c r="G40" s="42"/>
      <c r="H40" s="29" t="str">
        <f>IF(A40="","",IFERROR(INDEX('Bid Monitoring'!N:N,MATCH(A40,'Bid Monitoring'!B:B,0)),"Not Found"))</f>
        <v/>
      </c>
      <c r="I40" s="29"/>
      <c r="J40" s="43"/>
      <c r="K40" s="42"/>
      <c r="L40" s="44" t="str">
        <f t="shared" si="0"/>
        <v/>
      </c>
      <c r="M40" s="29"/>
    </row>
    <row r="41" ht="21.75" customHeight="1" spans="1:13">
      <c r="A41" s="45"/>
      <c r="B41" s="46" t="str">
        <f>IF(A41="","",IFERROR(INDEX('Bid Monitoring'!D:D,MATCH(A41,'Bid Monitoring'!B:B,0)),"Not Found"))</f>
        <v/>
      </c>
      <c r="C41" s="45" t="str">
        <f>IF(A41="","",IFERROR(INDEX('Bid Monitoring'!C:C,MATCH(A41,'Bid Monitoring'!B:B,0)),"Not Found"))</f>
        <v/>
      </c>
      <c r="D41" s="47" t="str">
        <f>IF(A41="","",IFERROR(INDEX('Bid Monitoring'!H:H,MATCH(A41,'Bid Monitoring'!B:B,0)),0))</f>
        <v/>
      </c>
      <c r="E41" s="48"/>
      <c r="F41" s="45"/>
      <c r="G41" s="47"/>
      <c r="H41" s="45" t="str">
        <f>IF(A41="","",IFERROR(INDEX('Bid Monitoring'!N:N,MATCH(A41,'Bid Monitoring'!B:B,0)),"Not Found"))</f>
        <v/>
      </c>
      <c r="I41" s="45"/>
      <c r="J41" s="48"/>
      <c r="K41" s="47"/>
      <c r="L41" s="49" t="str">
        <f t="shared" si="0"/>
        <v/>
      </c>
      <c r="M41" s="45"/>
    </row>
    <row r="42" ht="21.75" customHeight="1" spans="1:13">
      <c r="A42" s="29"/>
      <c r="B42" s="41" t="str">
        <f>IF(A42="","",IFERROR(INDEX('Bid Monitoring'!D:D,MATCH(A42,'Bid Monitoring'!B:B,0)),"Not Found"))</f>
        <v/>
      </c>
      <c r="C42" s="29" t="str">
        <f>IF(A42="","",IFERROR(INDEX('Bid Monitoring'!C:C,MATCH(A42,'Bid Monitoring'!B:B,0)),"Not Found"))</f>
        <v/>
      </c>
      <c r="D42" s="42" t="str">
        <f>IF(A42="","",IFERROR(INDEX('Bid Monitoring'!H:H,MATCH(A42,'Bid Monitoring'!B:B,0)),0))</f>
        <v/>
      </c>
      <c r="E42" s="43"/>
      <c r="F42" s="29"/>
      <c r="G42" s="42"/>
      <c r="H42" s="29" t="str">
        <f>IF(A42="","",IFERROR(INDEX('Bid Monitoring'!N:N,MATCH(A42,'Bid Monitoring'!B:B,0)),"Not Found"))</f>
        <v/>
      </c>
      <c r="I42" s="29"/>
      <c r="J42" s="43"/>
      <c r="K42" s="42"/>
      <c r="L42" s="44" t="str">
        <f t="shared" si="0"/>
        <v/>
      </c>
      <c r="M42" s="29"/>
    </row>
    <row r="43" ht="21.75" customHeight="1" spans="1:13">
      <c r="A43" s="45"/>
      <c r="B43" s="46" t="str">
        <f>IF(A43="","",IFERROR(INDEX('Bid Monitoring'!D:D,MATCH(A43,'Bid Monitoring'!B:B,0)),"Not Found"))</f>
        <v/>
      </c>
      <c r="C43" s="45" t="str">
        <f>IF(A43="","",IFERROR(INDEX('Bid Monitoring'!C:C,MATCH(A43,'Bid Monitoring'!B:B,0)),"Not Found"))</f>
        <v/>
      </c>
      <c r="D43" s="47" t="str">
        <f>IF(A43="","",IFERROR(INDEX('Bid Monitoring'!H:H,MATCH(A43,'Bid Monitoring'!B:B,0)),0))</f>
        <v/>
      </c>
      <c r="E43" s="48"/>
      <c r="F43" s="45"/>
      <c r="G43" s="47"/>
      <c r="H43" s="45" t="str">
        <f>IF(A43="","",IFERROR(INDEX('Bid Monitoring'!N:N,MATCH(A43,'Bid Monitoring'!B:B,0)),"Not Found"))</f>
        <v/>
      </c>
      <c r="I43" s="45"/>
      <c r="J43" s="48"/>
      <c r="K43" s="47"/>
      <c r="L43" s="49" t="str">
        <f t="shared" si="0"/>
        <v/>
      </c>
      <c r="M43" s="45"/>
    </row>
    <row r="44" ht="21.75" customHeight="1" spans="1:13">
      <c r="A44" s="29"/>
      <c r="B44" s="41" t="str">
        <f>IF(A44="","",IFERROR(INDEX('Bid Monitoring'!D:D,MATCH(A44,'Bid Monitoring'!B:B,0)),"Not Found"))</f>
        <v/>
      </c>
      <c r="C44" s="29" t="str">
        <f>IF(A44="","",IFERROR(INDEX('Bid Monitoring'!C:C,MATCH(A44,'Bid Monitoring'!B:B,0)),"Not Found"))</f>
        <v/>
      </c>
      <c r="D44" s="42" t="str">
        <f>IF(A44="","",IFERROR(INDEX('Bid Monitoring'!H:H,MATCH(A44,'Bid Monitoring'!B:B,0)),0))</f>
        <v/>
      </c>
      <c r="E44" s="43"/>
      <c r="F44" s="29"/>
      <c r="G44" s="42"/>
      <c r="H44" s="29" t="str">
        <f>IF(A44="","",IFERROR(INDEX('Bid Monitoring'!N:N,MATCH(A44,'Bid Monitoring'!B:B,0)),"Not Found"))</f>
        <v/>
      </c>
      <c r="I44" s="29"/>
      <c r="J44" s="43"/>
      <c r="K44" s="42"/>
      <c r="L44" s="44" t="str">
        <f t="shared" si="0"/>
        <v/>
      </c>
      <c r="M44" s="29"/>
    </row>
    <row r="45" ht="21.75" customHeight="1" spans="1:13">
      <c r="A45" s="45"/>
      <c r="B45" s="46" t="str">
        <f>IF(A45="","",IFERROR(INDEX('Bid Monitoring'!D:D,MATCH(A45,'Bid Monitoring'!B:B,0)),"Not Found"))</f>
        <v/>
      </c>
      <c r="C45" s="45" t="str">
        <f>IF(A45="","",IFERROR(INDEX('Bid Monitoring'!C:C,MATCH(A45,'Bid Monitoring'!B:B,0)),"Not Found"))</f>
        <v/>
      </c>
      <c r="D45" s="47" t="str">
        <f>IF(A45="","",IFERROR(INDEX('Bid Monitoring'!H:H,MATCH(A45,'Bid Monitoring'!B:B,0)),0))</f>
        <v/>
      </c>
      <c r="E45" s="48"/>
      <c r="F45" s="45"/>
      <c r="G45" s="47"/>
      <c r="H45" s="45" t="str">
        <f>IF(A45="","",IFERROR(INDEX('Bid Monitoring'!N:N,MATCH(A45,'Bid Monitoring'!B:B,0)),"Not Found"))</f>
        <v/>
      </c>
      <c r="I45" s="45"/>
      <c r="J45" s="48"/>
      <c r="K45" s="47"/>
      <c r="L45" s="49" t="str">
        <f t="shared" si="0"/>
        <v/>
      </c>
      <c r="M45" s="45"/>
    </row>
    <row r="46" ht="21.75" customHeight="1" spans="1:13">
      <c r="A46" s="29"/>
      <c r="B46" s="41" t="str">
        <f>IF(A46="","",IFERROR(INDEX('Bid Monitoring'!D:D,MATCH(A46,'Bid Monitoring'!B:B,0)),"Not Found"))</f>
        <v/>
      </c>
      <c r="C46" s="29" t="str">
        <f>IF(A46="","",IFERROR(INDEX('Bid Monitoring'!C:C,MATCH(A46,'Bid Monitoring'!B:B,0)),"Not Found"))</f>
        <v/>
      </c>
      <c r="D46" s="42" t="str">
        <f>IF(A46="","",IFERROR(INDEX('Bid Monitoring'!H:H,MATCH(A46,'Bid Monitoring'!B:B,0)),0))</f>
        <v/>
      </c>
      <c r="E46" s="43"/>
      <c r="F46" s="29"/>
      <c r="G46" s="42"/>
      <c r="H46" s="29" t="str">
        <f>IF(A46="","",IFERROR(INDEX('Bid Monitoring'!N:N,MATCH(A46,'Bid Monitoring'!B:B,0)),"Not Found"))</f>
        <v/>
      </c>
      <c r="I46" s="29"/>
      <c r="J46" s="43"/>
      <c r="K46" s="42"/>
      <c r="L46" s="44" t="str">
        <f t="shared" si="0"/>
        <v/>
      </c>
      <c r="M46" s="29"/>
    </row>
    <row r="47" ht="21.75" customHeight="1" spans="1:13">
      <c r="A47" s="45"/>
      <c r="B47" s="46" t="str">
        <f>IF(A47="","",IFERROR(INDEX('Bid Monitoring'!D:D,MATCH(A47,'Bid Monitoring'!B:B,0)),"Not Found"))</f>
        <v/>
      </c>
      <c r="C47" s="45" t="str">
        <f>IF(A47="","",IFERROR(INDEX('Bid Monitoring'!C:C,MATCH(A47,'Bid Monitoring'!B:B,0)),"Not Found"))</f>
        <v/>
      </c>
      <c r="D47" s="47" t="str">
        <f>IF(A47="","",IFERROR(INDEX('Bid Monitoring'!H:H,MATCH(A47,'Bid Monitoring'!B:B,0)),0))</f>
        <v/>
      </c>
      <c r="E47" s="48"/>
      <c r="F47" s="45"/>
      <c r="G47" s="47"/>
      <c r="H47" s="45" t="str">
        <f>IF(A47="","",IFERROR(INDEX('Bid Monitoring'!N:N,MATCH(A47,'Bid Monitoring'!B:B,0)),"Not Found"))</f>
        <v/>
      </c>
      <c r="I47" s="45"/>
      <c r="J47" s="48"/>
      <c r="K47" s="47"/>
      <c r="L47" s="49" t="str">
        <f t="shared" si="0"/>
        <v/>
      </c>
      <c r="M47" s="45"/>
    </row>
    <row r="48" ht="21.75" customHeight="1" spans="1:13">
      <c r="A48" s="29"/>
      <c r="B48" s="41" t="str">
        <f>IF(A48="","",IFERROR(INDEX('Bid Monitoring'!D:D,MATCH(A48,'Bid Monitoring'!B:B,0)),"Not Found"))</f>
        <v/>
      </c>
      <c r="C48" s="29" t="str">
        <f>IF(A48="","",IFERROR(INDEX('Bid Monitoring'!C:C,MATCH(A48,'Bid Monitoring'!B:B,0)),"Not Found"))</f>
        <v/>
      </c>
      <c r="D48" s="42" t="str">
        <f>IF(A48="","",IFERROR(INDEX('Bid Monitoring'!H:H,MATCH(A48,'Bid Monitoring'!B:B,0)),0))</f>
        <v/>
      </c>
      <c r="E48" s="43"/>
      <c r="F48" s="29"/>
      <c r="G48" s="42"/>
      <c r="H48" s="29" t="str">
        <f>IF(A48="","",IFERROR(INDEX('Bid Monitoring'!N:N,MATCH(A48,'Bid Monitoring'!B:B,0)),"Not Found"))</f>
        <v/>
      </c>
      <c r="I48" s="29"/>
      <c r="J48" s="43"/>
      <c r="K48" s="42"/>
      <c r="L48" s="44" t="str">
        <f t="shared" si="0"/>
        <v/>
      </c>
      <c r="M48" s="29"/>
    </row>
    <row r="49" ht="21.75" customHeight="1" spans="1:13">
      <c r="A49" s="45"/>
      <c r="B49" s="46" t="str">
        <f>IF(A49="","",IFERROR(INDEX('Bid Monitoring'!D:D,MATCH(A49,'Bid Monitoring'!B:B,0)),"Not Found"))</f>
        <v/>
      </c>
      <c r="C49" s="45" t="str">
        <f>IF(A49="","",IFERROR(INDEX('Bid Monitoring'!C:C,MATCH(A49,'Bid Monitoring'!B:B,0)),"Not Found"))</f>
        <v/>
      </c>
      <c r="D49" s="47" t="str">
        <f>IF(A49="","",IFERROR(INDEX('Bid Monitoring'!H:H,MATCH(A49,'Bid Monitoring'!B:B,0)),0))</f>
        <v/>
      </c>
      <c r="E49" s="48"/>
      <c r="F49" s="45"/>
      <c r="G49" s="47"/>
      <c r="H49" s="45" t="str">
        <f>IF(A49="","",IFERROR(INDEX('Bid Monitoring'!N:N,MATCH(A49,'Bid Monitoring'!B:B,0)),"Not Found"))</f>
        <v/>
      </c>
      <c r="I49" s="45"/>
      <c r="J49" s="48"/>
      <c r="K49" s="47"/>
      <c r="L49" s="49" t="str">
        <f t="shared" si="0"/>
        <v/>
      </c>
      <c r="M49" s="45"/>
    </row>
    <row r="50" ht="21.75" customHeight="1" spans="1:13">
      <c r="A50" s="29"/>
      <c r="B50" s="41" t="str">
        <f>IF(A50="","",IFERROR(INDEX('Bid Monitoring'!D:D,MATCH(A50,'Bid Monitoring'!B:B,0)),"Not Found"))</f>
        <v/>
      </c>
      <c r="C50" s="29" t="str">
        <f>IF(A50="","",IFERROR(INDEX('Bid Monitoring'!C:C,MATCH(A50,'Bid Monitoring'!B:B,0)),"Not Found"))</f>
        <v/>
      </c>
      <c r="D50" s="42" t="str">
        <f>IF(A50="","",IFERROR(INDEX('Bid Monitoring'!H:H,MATCH(A50,'Bid Monitoring'!B:B,0)),0))</f>
        <v/>
      </c>
      <c r="E50" s="43"/>
      <c r="F50" s="29"/>
      <c r="G50" s="42"/>
      <c r="H50" s="29" t="str">
        <f>IF(A50="","",IFERROR(INDEX('Bid Monitoring'!N:N,MATCH(A50,'Bid Monitoring'!B:B,0)),"Not Found"))</f>
        <v/>
      </c>
      <c r="I50" s="29"/>
      <c r="J50" s="43"/>
      <c r="K50" s="42"/>
      <c r="L50" s="44" t="str">
        <f t="shared" si="0"/>
        <v/>
      </c>
      <c r="M50" s="29"/>
    </row>
    <row r="51" ht="21.75" customHeight="1" spans="1:13">
      <c r="A51" s="45"/>
      <c r="B51" s="46" t="str">
        <f>IF(A51="","",IFERROR(INDEX('Bid Monitoring'!D:D,MATCH(A51,'Bid Monitoring'!B:B,0)),"Not Found"))</f>
        <v/>
      </c>
      <c r="C51" s="45" t="str">
        <f>IF(A51="","",IFERROR(INDEX('Bid Monitoring'!C:C,MATCH(A51,'Bid Monitoring'!B:B,0)),"Not Found"))</f>
        <v/>
      </c>
      <c r="D51" s="47" t="str">
        <f>IF(A51="","",IFERROR(INDEX('Bid Monitoring'!H:H,MATCH(A51,'Bid Monitoring'!B:B,0)),0))</f>
        <v/>
      </c>
      <c r="E51" s="48"/>
      <c r="F51" s="45"/>
      <c r="G51" s="47"/>
      <c r="H51" s="45" t="str">
        <f>IF(A51="","",IFERROR(INDEX('Bid Monitoring'!N:N,MATCH(A51,'Bid Monitoring'!B:B,0)),"Not Found"))</f>
        <v/>
      </c>
      <c r="I51" s="45"/>
      <c r="J51" s="48"/>
      <c r="K51" s="47"/>
      <c r="L51" s="49" t="str">
        <f t="shared" si="0"/>
        <v/>
      </c>
      <c r="M51" s="45"/>
    </row>
    <row r="52" ht="21.75" customHeight="1" spans="1:13">
      <c r="A52" s="29"/>
      <c r="B52" s="41" t="str">
        <f>IF(A52="","",IFERROR(INDEX('Bid Monitoring'!D:D,MATCH(A52,'Bid Monitoring'!B:B,0)),"Not Found"))</f>
        <v/>
      </c>
      <c r="C52" s="29" t="str">
        <f>IF(A52="","",IFERROR(INDEX('Bid Monitoring'!C:C,MATCH(A52,'Bid Monitoring'!B:B,0)),"Not Found"))</f>
        <v/>
      </c>
      <c r="D52" s="42" t="str">
        <f>IF(A52="","",IFERROR(INDEX('Bid Monitoring'!H:H,MATCH(A52,'Bid Monitoring'!B:B,0)),0))</f>
        <v/>
      </c>
      <c r="E52" s="43"/>
      <c r="F52" s="29"/>
      <c r="G52" s="42"/>
      <c r="H52" s="29" t="str">
        <f>IF(A52="","",IFERROR(INDEX('Bid Monitoring'!N:N,MATCH(A52,'Bid Monitoring'!B:B,0)),"Not Found"))</f>
        <v/>
      </c>
      <c r="I52" s="29"/>
      <c r="J52" s="43"/>
      <c r="K52" s="42"/>
      <c r="L52" s="44" t="str">
        <f t="shared" si="0"/>
        <v/>
      </c>
      <c r="M52" s="29"/>
    </row>
    <row r="53" ht="21.75" customHeight="1" spans="1:13">
      <c r="A53" s="45"/>
      <c r="B53" s="46" t="str">
        <f>IF(A53="","",IFERROR(INDEX('Bid Monitoring'!D:D,MATCH(A53,'Bid Monitoring'!B:B,0)),"Not Found"))</f>
        <v/>
      </c>
      <c r="C53" s="45" t="str">
        <f>IF(A53="","",IFERROR(INDEX('Bid Monitoring'!C:C,MATCH(A53,'Bid Monitoring'!B:B,0)),"Not Found"))</f>
        <v/>
      </c>
      <c r="D53" s="47" t="str">
        <f>IF(A53="","",IFERROR(INDEX('Bid Monitoring'!H:H,MATCH(A53,'Bid Monitoring'!B:B,0)),0))</f>
        <v/>
      </c>
      <c r="E53" s="48"/>
      <c r="F53" s="45"/>
      <c r="G53" s="47"/>
      <c r="H53" s="45" t="str">
        <f>IF(A53="","",IFERROR(INDEX('Bid Monitoring'!N:N,MATCH(A53,'Bid Monitoring'!B:B,0)),"Not Found"))</f>
        <v/>
      </c>
      <c r="I53" s="45"/>
      <c r="J53" s="48"/>
      <c r="K53" s="47"/>
      <c r="L53" s="49" t="str">
        <f t="shared" si="0"/>
        <v/>
      </c>
      <c r="M53" s="45"/>
    </row>
    <row r="54" ht="21.75" customHeight="1" spans="1:13">
      <c r="A54" s="29"/>
      <c r="B54" s="41" t="str">
        <f>IF(A54="","",IFERROR(INDEX('Bid Monitoring'!D:D,MATCH(A54,'Bid Monitoring'!B:B,0)),"Not Found"))</f>
        <v/>
      </c>
      <c r="C54" s="29" t="str">
        <f>IF(A54="","",IFERROR(INDEX('Bid Monitoring'!C:C,MATCH(A54,'Bid Monitoring'!B:B,0)),"Not Found"))</f>
        <v/>
      </c>
      <c r="D54" s="42" t="str">
        <f>IF(A54="","",IFERROR(INDEX('Bid Monitoring'!H:H,MATCH(A54,'Bid Monitoring'!B:B,0)),0))</f>
        <v/>
      </c>
      <c r="E54" s="43"/>
      <c r="F54" s="29"/>
      <c r="G54" s="42"/>
      <c r="H54" s="29" t="str">
        <f>IF(A54="","",IFERROR(INDEX('Bid Monitoring'!N:N,MATCH(A54,'Bid Monitoring'!B:B,0)),"Not Found"))</f>
        <v/>
      </c>
      <c r="I54" s="29"/>
      <c r="J54" s="43"/>
      <c r="K54" s="42"/>
      <c r="L54" s="44" t="str">
        <f t="shared" si="0"/>
        <v/>
      </c>
      <c r="M54" s="29"/>
    </row>
    <row r="55" ht="21.75" customHeight="1" spans="1:13">
      <c r="A55" s="45"/>
      <c r="B55" s="46" t="str">
        <f>IF(A55="","",IFERROR(INDEX('Bid Monitoring'!D:D,MATCH(A55,'Bid Monitoring'!B:B,0)),"Not Found"))</f>
        <v/>
      </c>
      <c r="C55" s="45" t="str">
        <f>IF(A55="","",IFERROR(INDEX('Bid Monitoring'!C:C,MATCH(A55,'Bid Monitoring'!B:B,0)),"Not Found"))</f>
        <v/>
      </c>
      <c r="D55" s="47" t="str">
        <f>IF(A55="","",IFERROR(INDEX('Bid Monitoring'!H:H,MATCH(A55,'Bid Monitoring'!B:B,0)),0))</f>
        <v/>
      </c>
      <c r="E55" s="48"/>
      <c r="F55" s="45"/>
      <c r="G55" s="47"/>
      <c r="H55" s="45" t="str">
        <f>IF(A55="","",IFERROR(INDEX('Bid Monitoring'!N:N,MATCH(A55,'Bid Monitoring'!B:B,0)),"Not Found"))</f>
        <v/>
      </c>
      <c r="I55" s="45"/>
      <c r="J55" s="48"/>
      <c r="K55" s="47"/>
      <c r="L55" s="49" t="str">
        <f t="shared" si="0"/>
        <v/>
      </c>
      <c r="M55" s="45"/>
    </row>
    <row r="56" ht="21.75" customHeight="1" spans="1:13">
      <c r="A56" s="29"/>
      <c r="B56" s="41" t="str">
        <f>IF(A56="","",IFERROR(INDEX('Bid Monitoring'!D:D,MATCH(A56,'Bid Monitoring'!B:B,0)),"Not Found"))</f>
        <v/>
      </c>
      <c r="C56" s="29" t="str">
        <f>IF(A56="","",IFERROR(INDEX('Bid Monitoring'!C:C,MATCH(A56,'Bid Monitoring'!B:B,0)),"Not Found"))</f>
        <v/>
      </c>
      <c r="D56" s="42" t="str">
        <f>IF(A56="","",IFERROR(INDEX('Bid Monitoring'!H:H,MATCH(A56,'Bid Monitoring'!B:B,0)),0))</f>
        <v/>
      </c>
      <c r="E56" s="43"/>
      <c r="F56" s="29"/>
      <c r="G56" s="42"/>
      <c r="H56" s="29" t="str">
        <f>IF(A56="","",IFERROR(INDEX('Bid Monitoring'!N:N,MATCH(A56,'Bid Monitoring'!B:B,0)),"Not Found"))</f>
        <v/>
      </c>
      <c r="I56" s="29"/>
      <c r="J56" s="43"/>
      <c r="K56" s="42"/>
      <c r="L56" s="44" t="str">
        <f t="shared" si="0"/>
        <v/>
      </c>
      <c r="M56" s="29"/>
    </row>
    <row r="57" ht="21.75" customHeight="1" spans="1:13">
      <c r="A57" s="45"/>
      <c r="B57" s="46" t="str">
        <f>IF(A57="","",IFERROR(INDEX('Bid Monitoring'!D:D,MATCH(A57,'Bid Monitoring'!B:B,0)),"Not Found"))</f>
        <v/>
      </c>
      <c r="C57" s="45" t="str">
        <f>IF(A57="","",IFERROR(INDEX('Bid Monitoring'!C:C,MATCH(A57,'Bid Monitoring'!B:B,0)),"Not Found"))</f>
        <v/>
      </c>
      <c r="D57" s="47" t="str">
        <f>IF(A57="","",IFERROR(INDEX('Bid Monitoring'!H:H,MATCH(A57,'Bid Monitoring'!B:B,0)),0))</f>
        <v/>
      </c>
      <c r="E57" s="48"/>
      <c r="F57" s="45"/>
      <c r="G57" s="47"/>
      <c r="H57" s="45" t="str">
        <f>IF(A57="","",IFERROR(INDEX('Bid Monitoring'!N:N,MATCH(A57,'Bid Monitoring'!B:B,0)),"Not Found"))</f>
        <v/>
      </c>
      <c r="I57" s="45"/>
      <c r="J57" s="48"/>
      <c r="K57" s="47"/>
      <c r="L57" s="49" t="str">
        <f t="shared" si="0"/>
        <v/>
      </c>
      <c r="M57" s="45"/>
    </row>
    <row r="58" ht="21.75" customHeight="1" spans="1:13">
      <c r="A58" s="29"/>
      <c r="B58" s="41" t="str">
        <f>IF(A58="","",IFERROR(INDEX('Bid Monitoring'!D:D,MATCH(A58,'Bid Monitoring'!B:B,0)),"Not Found"))</f>
        <v/>
      </c>
      <c r="C58" s="29" t="str">
        <f>IF(A58="","",IFERROR(INDEX('Bid Monitoring'!C:C,MATCH(A58,'Bid Monitoring'!B:B,0)),"Not Found"))</f>
        <v/>
      </c>
      <c r="D58" s="42" t="str">
        <f>IF(A58="","",IFERROR(INDEX('Bid Monitoring'!H:H,MATCH(A58,'Bid Monitoring'!B:B,0)),0))</f>
        <v/>
      </c>
      <c r="E58" s="43"/>
      <c r="F58" s="29"/>
      <c r="G58" s="42"/>
      <c r="H58" s="29" t="str">
        <f>IF(A58="","",IFERROR(INDEX('Bid Monitoring'!N:N,MATCH(A58,'Bid Monitoring'!B:B,0)),"Not Found"))</f>
        <v/>
      </c>
      <c r="I58" s="29"/>
      <c r="J58" s="43"/>
      <c r="K58" s="42"/>
      <c r="L58" s="44" t="str">
        <f t="shared" si="0"/>
        <v/>
      </c>
      <c r="M58" s="29"/>
    </row>
    <row r="59" ht="21.75" customHeight="1" spans="1:13">
      <c r="A59" s="45"/>
      <c r="B59" s="46" t="str">
        <f>IF(A59="","",IFERROR(INDEX('Bid Monitoring'!D:D,MATCH(A59,'Bid Monitoring'!B:B,0)),"Not Found"))</f>
        <v/>
      </c>
      <c r="C59" s="45" t="str">
        <f>IF(A59="","",IFERROR(INDEX('Bid Monitoring'!C:C,MATCH(A59,'Bid Monitoring'!B:B,0)),"Not Found"))</f>
        <v/>
      </c>
      <c r="D59" s="47" t="str">
        <f>IF(A59="","",IFERROR(INDEX('Bid Monitoring'!H:H,MATCH(A59,'Bid Monitoring'!B:B,0)),0))</f>
        <v/>
      </c>
      <c r="E59" s="48"/>
      <c r="F59" s="45"/>
      <c r="G59" s="47"/>
      <c r="H59" s="45" t="str">
        <f>IF(A59="","",IFERROR(INDEX('Bid Monitoring'!N:N,MATCH(A59,'Bid Monitoring'!B:B,0)),"Not Found"))</f>
        <v/>
      </c>
      <c r="I59" s="45"/>
      <c r="J59" s="48"/>
      <c r="K59" s="47"/>
      <c r="L59" s="49" t="str">
        <f t="shared" si="0"/>
        <v/>
      </c>
      <c r="M59" s="45"/>
    </row>
    <row r="60" ht="21.75" customHeight="1" spans="1:13">
      <c r="A60" s="29"/>
      <c r="B60" s="41" t="str">
        <f>IF(A60="","",IFERROR(INDEX('Bid Monitoring'!D:D,MATCH(A60,'Bid Monitoring'!B:B,0)),"Not Found"))</f>
        <v/>
      </c>
      <c r="C60" s="29" t="str">
        <f>IF(A60="","",IFERROR(INDEX('Bid Monitoring'!C:C,MATCH(A60,'Bid Monitoring'!B:B,0)),"Not Found"))</f>
        <v/>
      </c>
      <c r="D60" s="42" t="str">
        <f>IF(A60="","",IFERROR(INDEX('Bid Monitoring'!H:H,MATCH(A60,'Bid Monitoring'!B:B,0)),0))</f>
        <v/>
      </c>
      <c r="E60" s="43"/>
      <c r="F60" s="29"/>
      <c r="G60" s="42"/>
      <c r="H60" s="29" t="str">
        <f>IF(A60="","",IFERROR(INDEX('Bid Monitoring'!N:N,MATCH(A60,'Bid Monitoring'!B:B,0)),"Not Found"))</f>
        <v/>
      </c>
      <c r="I60" s="29"/>
      <c r="J60" s="43"/>
      <c r="K60" s="42"/>
      <c r="L60" s="44" t="str">
        <f t="shared" si="0"/>
        <v/>
      </c>
      <c r="M60" s="29"/>
    </row>
    <row r="61" ht="21.75" customHeight="1" spans="1:13">
      <c r="A61" s="45"/>
      <c r="B61" s="46" t="str">
        <f>IF(A61="","",IFERROR(INDEX('Bid Monitoring'!D:D,MATCH(A61,'Bid Monitoring'!B:B,0)),"Not Found"))</f>
        <v/>
      </c>
      <c r="C61" s="45" t="str">
        <f>IF(A61="","",IFERROR(INDEX('Bid Monitoring'!C:C,MATCH(A61,'Bid Monitoring'!B:B,0)),"Not Found"))</f>
        <v/>
      </c>
      <c r="D61" s="47" t="str">
        <f>IF(A61="","",IFERROR(INDEX('Bid Monitoring'!H:H,MATCH(A61,'Bid Monitoring'!B:B,0)),0))</f>
        <v/>
      </c>
      <c r="E61" s="48"/>
      <c r="F61" s="45"/>
      <c r="G61" s="47"/>
      <c r="H61" s="45" t="str">
        <f>IF(A61="","",IFERROR(INDEX('Bid Monitoring'!N:N,MATCH(A61,'Bid Monitoring'!B:B,0)),"Not Found"))</f>
        <v/>
      </c>
      <c r="I61" s="45"/>
      <c r="J61" s="48"/>
      <c r="K61" s="47"/>
      <c r="L61" s="49" t="str">
        <f t="shared" si="0"/>
        <v/>
      </c>
      <c r="M61" s="45"/>
    </row>
    <row r="62" ht="21.75" customHeight="1" spans="1:13">
      <c r="A62" s="29"/>
      <c r="B62" s="41" t="str">
        <f>IF(A62="","",IFERROR(INDEX('Bid Monitoring'!D:D,MATCH(A62,'Bid Monitoring'!B:B,0)),"Not Found"))</f>
        <v/>
      </c>
      <c r="C62" s="29" t="str">
        <f>IF(A62="","",IFERROR(INDEX('Bid Monitoring'!C:C,MATCH(A62,'Bid Monitoring'!B:B,0)),"Not Found"))</f>
        <v/>
      </c>
      <c r="D62" s="42" t="str">
        <f>IF(A62="","",IFERROR(INDEX('Bid Monitoring'!H:H,MATCH(A62,'Bid Monitoring'!B:B,0)),0))</f>
        <v/>
      </c>
      <c r="E62" s="43"/>
      <c r="F62" s="29"/>
      <c r="G62" s="42"/>
      <c r="H62" s="29" t="str">
        <f>IF(A62="","",IFERROR(INDEX('Bid Monitoring'!N:N,MATCH(A62,'Bid Monitoring'!B:B,0)),"Not Found"))</f>
        <v/>
      </c>
      <c r="I62" s="29"/>
      <c r="J62" s="43"/>
      <c r="K62" s="42"/>
      <c r="L62" s="44" t="str">
        <f t="shared" si="0"/>
        <v/>
      </c>
      <c r="M62" s="29"/>
    </row>
    <row r="63" ht="21.75" customHeight="1" spans="1:13">
      <c r="A63" s="45"/>
      <c r="B63" s="46" t="str">
        <f>IF(A63="","",IFERROR(INDEX('Bid Monitoring'!D:D,MATCH(A63,'Bid Monitoring'!B:B,0)),"Not Found"))</f>
        <v/>
      </c>
      <c r="C63" s="45" t="str">
        <f>IF(A63="","",IFERROR(INDEX('Bid Monitoring'!C:C,MATCH(A63,'Bid Monitoring'!B:B,0)),"Not Found"))</f>
        <v/>
      </c>
      <c r="D63" s="47" t="str">
        <f>IF(A63="","",IFERROR(INDEX('Bid Monitoring'!H:H,MATCH(A63,'Bid Monitoring'!B:B,0)),0))</f>
        <v/>
      </c>
      <c r="E63" s="48"/>
      <c r="F63" s="45"/>
      <c r="G63" s="47"/>
      <c r="H63" s="45" t="str">
        <f>IF(A63="","",IFERROR(INDEX('Bid Monitoring'!N:N,MATCH(A63,'Bid Monitoring'!B:B,0)),"Not Found"))</f>
        <v/>
      </c>
      <c r="I63" s="45"/>
      <c r="J63" s="48"/>
      <c r="K63" s="47"/>
      <c r="L63" s="49" t="str">
        <f t="shared" si="0"/>
        <v/>
      </c>
      <c r="M63" s="45"/>
    </row>
    <row r="64" ht="21.75" customHeight="1" spans="1:13">
      <c r="A64" s="29"/>
      <c r="B64" s="41" t="str">
        <f>IF(A64="","",IFERROR(INDEX('Bid Monitoring'!D:D,MATCH(A64,'Bid Monitoring'!B:B,0)),"Not Found"))</f>
        <v/>
      </c>
      <c r="C64" s="29" t="str">
        <f>IF(A64="","",IFERROR(INDEX('Bid Monitoring'!C:C,MATCH(A64,'Bid Monitoring'!B:B,0)),"Not Found"))</f>
        <v/>
      </c>
      <c r="D64" s="42" t="str">
        <f>IF(A64="","",IFERROR(INDEX('Bid Monitoring'!H:H,MATCH(A64,'Bid Monitoring'!B:B,0)),0))</f>
        <v/>
      </c>
      <c r="E64" s="43"/>
      <c r="F64" s="29"/>
      <c r="G64" s="42"/>
      <c r="H64" s="29" t="str">
        <f>IF(A64="","",IFERROR(INDEX('Bid Monitoring'!N:N,MATCH(A64,'Bid Monitoring'!B:B,0)),"Not Found"))</f>
        <v/>
      </c>
      <c r="I64" s="29"/>
      <c r="J64" s="43"/>
      <c r="K64" s="42"/>
      <c r="L64" s="44" t="str">
        <f t="shared" si="0"/>
        <v/>
      </c>
      <c r="M64" s="29"/>
    </row>
    <row r="65" ht="21.75" customHeight="1" spans="1:13">
      <c r="A65" s="45"/>
      <c r="B65" s="46" t="str">
        <f>IF(A65="","",IFERROR(INDEX('Bid Monitoring'!D:D,MATCH(A65,'Bid Monitoring'!B:B,0)),"Not Found"))</f>
        <v/>
      </c>
      <c r="C65" s="45" t="str">
        <f>IF(A65="","",IFERROR(INDEX('Bid Monitoring'!C:C,MATCH(A65,'Bid Monitoring'!B:B,0)),"Not Found"))</f>
        <v/>
      </c>
      <c r="D65" s="47" t="str">
        <f>IF(A65="","",IFERROR(INDEX('Bid Monitoring'!H:H,MATCH(A65,'Bid Monitoring'!B:B,0)),0))</f>
        <v/>
      </c>
      <c r="E65" s="48"/>
      <c r="F65" s="45"/>
      <c r="G65" s="47"/>
      <c r="H65" s="45" t="str">
        <f>IF(A65="","",IFERROR(INDEX('Bid Monitoring'!N:N,MATCH(A65,'Bid Monitoring'!B:B,0)),"Not Found"))</f>
        <v/>
      </c>
      <c r="I65" s="45"/>
      <c r="J65" s="48"/>
      <c r="K65" s="47"/>
      <c r="L65" s="49" t="str">
        <f t="shared" si="0"/>
        <v/>
      </c>
      <c r="M65" s="45"/>
    </row>
    <row r="66" ht="21.75" customHeight="1" spans="1:13">
      <c r="A66" s="29"/>
      <c r="B66" s="41" t="str">
        <f>IF(A66="","",IFERROR(INDEX('Bid Monitoring'!D:D,MATCH(A66,'Bid Monitoring'!B:B,0)),"Not Found"))</f>
        <v/>
      </c>
      <c r="C66" s="29" t="str">
        <f>IF(A66="","",IFERROR(INDEX('Bid Monitoring'!C:C,MATCH(A66,'Bid Monitoring'!B:B,0)),"Not Found"))</f>
        <v/>
      </c>
      <c r="D66" s="42" t="str">
        <f>IF(A66="","",IFERROR(INDEX('Bid Monitoring'!H:H,MATCH(A66,'Bid Monitoring'!B:B,0)),0))</f>
        <v/>
      </c>
      <c r="E66" s="43"/>
      <c r="F66" s="29"/>
      <c r="G66" s="42"/>
      <c r="H66" s="29" t="str">
        <f>IF(A66="","",IFERROR(INDEX('Bid Monitoring'!N:N,MATCH(A66,'Bid Monitoring'!B:B,0)),"Not Found"))</f>
        <v/>
      </c>
      <c r="I66" s="29"/>
      <c r="J66" s="43"/>
      <c r="K66" s="42"/>
      <c r="L66" s="44" t="str">
        <f t="shared" si="0"/>
        <v/>
      </c>
      <c r="M66" s="29"/>
    </row>
    <row r="67" ht="21.75" customHeight="1" spans="1:13">
      <c r="A67" s="45"/>
      <c r="B67" s="46" t="str">
        <f>IF(A67="","",IFERROR(INDEX('Bid Monitoring'!D:D,MATCH(A67,'Bid Monitoring'!B:B,0)),"Not Found"))</f>
        <v/>
      </c>
      <c r="C67" s="45" t="str">
        <f>IF(A67="","",IFERROR(INDEX('Bid Monitoring'!C:C,MATCH(A67,'Bid Monitoring'!B:B,0)),"Not Found"))</f>
        <v/>
      </c>
      <c r="D67" s="47" t="str">
        <f>IF(A67="","",IFERROR(INDEX('Bid Monitoring'!H:H,MATCH(A67,'Bid Monitoring'!B:B,0)),0))</f>
        <v/>
      </c>
      <c r="E67" s="48"/>
      <c r="F67" s="45"/>
      <c r="G67" s="47"/>
      <c r="H67" s="45" t="str">
        <f>IF(A67="","",IFERROR(INDEX('Bid Monitoring'!N:N,MATCH(A67,'Bid Monitoring'!B:B,0)),"Not Found"))</f>
        <v/>
      </c>
      <c r="I67" s="45"/>
      <c r="J67" s="48"/>
      <c r="K67" s="47"/>
      <c r="L67" s="49" t="str">
        <f t="shared" si="0"/>
        <v/>
      </c>
      <c r="M67" s="45"/>
    </row>
    <row r="68" ht="21.75" customHeight="1" spans="1:13">
      <c r="A68" s="29"/>
      <c r="B68" s="41" t="str">
        <f>IF(A68="","",IFERROR(INDEX('Bid Monitoring'!D:D,MATCH(A68,'Bid Monitoring'!B:B,0)),"Not Found"))</f>
        <v/>
      </c>
      <c r="C68" s="29" t="str">
        <f>IF(A68="","",IFERROR(INDEX('Bid Monitoring'!C:C,MATCH(A68,'Bid Monitoring'!B:B,0)),"Not Found"))</f>
        <v/>
      </c>
      <c r="D68" s="42" t="str">
        <f>IF(A68="","",IFERROR(INDEX('Bid Monitoring'!H:H,MATCH(A68,'Bid Monitoring'!B:B,0)),0))</f>
        <v/>
      </c>
      <c r="E68" s="43"/>
      <c r="F68" s="29"/>
      <c r="G68" s="42"/>
      <c r="H68" s="29" t="str">
        <f>IF(A68="","",IFERROR(INDEX('Bid Monitoring'!N:N,MATCH(A68,'Bid Monitoring'!B:B,0)),"Not Found"))</f>
        <v/>
      </c>
      <c r="I68" s="29"/>
      <c r="J68" s="43"/>
      <c r="K68" s="42"/>
      <c r="L68" s="44" t="str">
        <f t="shared" ref="L68:L103" si="1">IF(OR(K68=0,K68=""),"",IFERROR((K68-G68)/K68,0))</f>
        <v/>
      </c>
      <c r="M68" s="29"/>
    </row>
    <row r="69" ht="21.75" customHeight="1" spans="1:13">
      <c r="A69" s="45"/>
      <c r="B69" s="46" t="str">
        <f>IF(A69="","",IFERROR(INDEX('Bid Monitoring'!D:D,MATCH(A69,'Bid Monitoring'!B:B,0)),"Not Found"))</f>
        <v/>
      </c>
      <c r="C69" s="45" t="str">
        <f>IF(A69="","",IFERROR(INDEX('Bid Monitoring'!C:C,MATCH(A69,'Bid Monitoring'!B:B,0)),"Not Found"))</f>
        <v/>
      </c>
      <c r="D69" s="47" t="str">
        <f>IF(A69="","",IFERROR(INDEX('Bid Monitoring'!H:H,MATCH(A69,'Bid Monitoring'!B:B,0)),0))</f>
        <v/>
      </c>
      <c r="E69" s="48"/>
      <c r="F69" s="45"/>
      <c r="G69" s="47"/>
      <c r="H69" s="45" t="str">
        <f>IF(A69="","",IFERROR(INDEX('Bid Monitoring'!N:N,MATCH(A69,'Bid Monitoring'!B:B,0)),"Not Found"))</f>
        <v/>
      </c>
      <c r="I69" s="45"/>
      <c r="J69" s="48"/>
      <c r="K69" s="47"/>
      <c r="L69" s="49" t="str">
        <f t="shared" si="1"/>
        <v/>
      </c>
      <c r="M69" s="45"/>
    </row>
    <row r="70" ht="21.75" customHeight="1" spans="1:13">
      <c r="A70" s="29"/>
      <c r="B70" s="41" t="str">
        <f>IF(A70="","",IFERROR(INDEX('Bid Monitoring'!D:D,MATCH(A70,'Bid Monitoring'!B:B,0)),"Not Found"))</f>
        <v/>
      </c>
      <c r="C70" s="29" t="str">
        <f>IF(A70="","",IFERROR(INDEX('Bid Monitoring'!C:C,MATCH(A70,'Bid Monitoring'!B:B,0)),"Not Found"))</f>
        <v/>
      </c>
      <c r="D70" s="42" t="str">
        <f>IF(A70="","",IFERROR(INDEX('Bid Monitoring'!H:H,MATCH(A70,'Bid Monitoring'!B:B,0)),0))</f>
        <v/>
      </c>
      <c r="E70" s="43"/>
      <c r="F70" s="29"/>
      <c r="G70" s="42"/>
      <c r="H70" s="29" t="str">
        <f>IF(A70="","",IFERROR(INDEX('Bid Monitoring'!N:N,MATCH(A70,'Bid Monitoring'!B:B,0)),"Not Found"))</f>
        <v/>
      </c>
      <c r="I70" s="29"/>
      <c r="J70" s="43"/>
      <c r="K70" s="42"/>
      <c r="L70" s="44" t="str">
        <f t="shared" si="1"/>
        <v/>
      </c>
      <c r="M70" s="29"/>
    </row>
    <row r="71" ht="21.75" customHeight="1" spans="1:13">
      <c r="A71" s="45"/>
      <c r="B71" s="46" t="str">
        <f>IF(A71="","",IFERROR(INDEX('Bid Monitoring'!D:D,MATCH(A71,'Bid Monitoring'!B:B,0)),"Not Found"))</f>
        <v/>
      </c>
      <c r="C71" s="45" t="str">
        <f>IF(A71="","",IFERROR(INDEX('Bid Monitoring'!C:C,MATCH(A71,'Bid Monitoring'!B:B,0)),"Not Found"))</f>
        <v/>
      </c>
      <c r="D71" s="47" t="str">
        <f>IF(A71="","",IFERROR(INDEX('Bid Monitoring'!H:H,MATCH(A71,'Bid Monitoring'!B:B,0)),0))</f>
        <v/>
      </c>
      <c r="E71" s="48"/>
      <c r="F71" s="45"/>
      <c r="G71" s="47"/>
      <c r="H71" s="45" t="str">
        <f>IF(A71="","",IFERROR(INDEX('Bid Monitoring'!N:N,MATCH(A71,'Bid Monitoring'!B:B,0)),"Not Found"))</f>
        <v/>
      </c>
      <c r="I71" s="45"/>
      <c r="J71" s="48"/>
      <c r="K71" s="47"/>
      <c r="L71" s="49" t="str">
        <f t="shared" si="1"/>
        <v/>
      </c>
      <c r="M71" s="45"/>
    </row>
    <row r="72" ht="21.75" customHeight="1" spans="1:13">
      <c r="A72" s="29"/>
      <c r="B72" s="41" t="str">
        <f>IF(A72="","",IFERROR(INDEX('Bid Monitoring'!D:D,MATCH(A72,'Bid Monitoring'!B:B,0)),"Not Found"))</f>
        <v/>
      </c>
      <c r="C72" s="29" t="str">
        <f>IF(A72="","",IFERROR(INDEX('Bid Monitoring'!C:C,MATCH(A72,'Bid Monitoring'!B:B,0)),"Not Found"))</f>
        <v/>
      </c>
      <c r="D72" s="42" t="str">
        <f>IF(A72="","",IFERROR(INDEX('Bid Monitoring'!H:H,MATCH(A72,'Bid Monitoring'!B:B,0)),0))</f>
        <v/>
      </c>
      <c r="E72" s="43"/>
      <c r="F72" s="29"/>
      <c r="G72" s="42"/>
      <c r="H72" s="29" t="str">
        <f>IF(A72="","",IFERROR(INDEX('Bid Monitoring'!N:N,MATCH(A72,'Bid Monitoring'!B:B,0)),"Not Found"))</f>
        <v/>
      </c>
      <c r="I72" s="29"/>
      <c r="J72" s="43"/>
      <c r="K72" s="42"/>
      <c r="L72" s="44" t="str">
        <f t="shared" si="1"/>
        <v/>
      </c>
      <c r="M72" s="29"/>
    </row>
    <row r="73" ht="21.75" customHeight="1" spans="1:13">
      <c r="A73" s="45"/>
      <c r="B73" s="46" t="str">
        <f>IF(A73="","",IFERROR(INDEX('Bid Monitoring'!D:D,MATCH(A73,'Bid Monitoring'!B:B,0)),"Not Found"))</f>
        <v/>
      </c>
      <c r="C73" s="45" t="str">
        <f>IF(A73="","",IFERROR(INDEX('Bid Monitoring'!C:C,MATCH(A73,'Bid Monitoring'!B:B,0)),"Not Found"))</f>
        <v/>
      </c>
      <c r="D73" s="47" t="str">
        <f>IF(A73="","",IFERROR(INDEX('Bid Monitoring'!H:H,MATCH(A73,'Bid Monitoring'!B:B,0)),0))</f>
        <v/>
      </c>
      <c r="E73" s="48"/>
      <c r="F73" s="45"/>
      <c r="G73" s="47"/>
      <c r="H73" s="45" t="str">
        <f>IF(A73="","",IFERROR(INDEX('Bid Monitoring'!N:N,MATCH(A73,'Bid Monitoring'!B:B,0)),"Not Found"))</f>
        <v/>
      </c>
      <c r="I73" s="45"/>
      <c r="J73" s="48"/>
      <c r="K73" s="47"/>
      <c r="L73" s="49" t="str">
        <f t="shared" si="1"/>
        <v/>
      </c>
      <c r="M73" s="45"/>
    </row>
    <row r="74" ht="21.75" customHeight="1" spans="1:13">
      <c r="A74" s="29"/>
      <c r="B74" s="41" t="str">
        <f>IF(A74="","",IFERROR(INDEX('Bid Monitoring'!D:D,MATCH(A74,'Bid Monitoring'!B:B,0)),"Not Found"))</f>
        <v/>
      </c>
      <c r="C74" s="29" t="str">
        <f>IF(A74="","",IFERROR(INDEX('Bid Monitoring'!C:C,MATCH(A74,'Bid Monitoring'!B:B,0)),"Not Found"))</f>
        <v/>
      </c>
      <c r="D74" s="42" t="str">
        <f>IF(A74="","",IFERROR(INDEX('Bid Monitoring'!H:H,MATCH(A74,'Bid Monitoring'!B:B,0)),0))</f>
        <v/>
      </c>
      <c r="E74" s="43"/>
      <c r="F74" s="29"/>
      <c r="G74" s="42"/>
      <c r="H74" s="29" t="str">
        <f>IF(A74="","",IFERROR(INDEX('Bid Monitoring'!N:N,MATCH(A74,'Bid Monitoring'!B:B,0)),"Not Found"))</f>
        <v/>
      </c>
      <c r="I74" s="29"/>
      <c r="J74" s="43"/>
      <c r="K74" s="42"/>
      <c r="L74" s="44" t="str">
        <f t="shared" si="1"/>
        <v/>
      </c>
      <c r="M74" s="29"/>
    </row>
    <row r="75" ht="21.75" customHeight="1" spans="1:13">
      <c r="A75" s="45"/>
      <c r="B75" s="46" t="str">
        <f>IF(A75="","",IFERROR(INDEX('Bid Monitoring'!D:D,MATCH(A75,'Bid Monitoring'!B:B,0)),"Not Found"))</f>
        <v/>
      </c>
      <c r="C75" s="45" t="str">
        <f>IF(A75="","",IFERROR(INDEX('Bid Monitoring'!C:C,MATCH(A75,'Bid Monitoring'!B:B,0)),"Not Found"))</f>
        <v/>
      </c>
      <c r="D75" s="47" t="str">
        <f>IF(A75="","",IFERROR(INDEX('Bid Monitoring'!H:H,MATCH(A75,'Bid Monitoring'!B:B,0)),0))</f>
        <v/>
      </c>
      <c r="E75" s="48"/>
      <c r="F75" s="45"/>
      <c r="G75" s="47"/>
      <c r="H75" s="45" t="str">
        <f>IF(A75="","",IFERROR(INDEX('Bid Monitoring'!N:N,MATCH(A75,'Bid Monitoring'!B:B,0)),"Not Found"))</f>
        <v/>
      </c>
      <c r="I75" s="45"/>
      <c r="J75" s="48"/>
      <c r="K75" s="47"/>
      <c r="L75" s="49" t="str">
        <f t="shared" si="1"/>
        <v/>
      </c>
      <c r="M75" s="45"/>
    </row>
    <row r="76" ht="21.75" customHeight="1" spans="1:13">
      <c r="A76" s="29"/>
      <c r="B76" s="41" t="str">
        <f>IF(A76="","",IFERROR(INDEX('Bid Monitoring'!D:D,MATCH(A76,'Bid Monitoring'!B:B,0)),"Not Found"))</f>
        <v/>
      </c>
      <c r="C76" s="29" t="str">
        <f>IF(A76="","",IFERROR(INDEX('Bid Monitoring'!C:C,MATCH(A76,'Bid Monitoring'!B:B,0)),"Not Found"))</f>
        <v/>
      </c>
      <c r="D76" s="42" t="str">
        <f>IF(A76="","",IFERROR(INDEX('Bid Monitoring'!H:H,MATCH(A76,'Bid Monitoring'!B:B,0)),0))</f>
        <v/>
      </c>
      <c r="E76" s="43"/>
      <c r="F76" s="29"/>
      <c r="G76" s="42"/>
      <c r="H76" s="29" t="str">
        <f>IF(A76="","",IFERROR(INDEX('Bid Monitoring'!N:N,MATCH(A76,'Bid Monitoring'!B:B,0)),"Not Found"))</f>
        <v/>
      </c>
      <c r="I76" s="29"/>
      <c r="J76" s="43"/>
      <c r="K76" s="42"/>
      <c r="L76" s="44" t="str">
        <f t="shared" si="1"/>
        <v/>
      </c>
      <c r="M76" s="29"/>
    </row>
    <row r="77" ht="21.75" customHeight="1" spans="1:13">
      <c r="A77" s="45"/>
      <c r="B77" s="46" t="str">
        <f>IF(A77="","",IFERROR(INDEX('Bid Monitoring'!D:D,MATCH(A77,'Bid Monitoring'!B:B,0)),"Not Found"))</f>
        <v/>
      </c>
      <c r="C77" s="45" t="str">
        <f>IF(A77="","",IFERROR(INDEX('Bid Monitoring'!C:C,MATCH(A77,'Bid Monitoring'!B:B,0)),"Not Found"))</f>
        <v/>
      </c>
      <c r="D77" s="47" t="str">
        <f>IF(A77="","",IFERROR(INDEX('Bid Monitoring'!H:H,MATCH(A77,'Bid Monitoring'!B:B,0)),0))</f>
        <v/>
      </c>
      <c r="E77" s="48"/>
      <c r="F77" s="45"/>
      <c r="G77" s="47"/>
      <c r="H77" s="45" t="str">
        <f>IF(A77="","",IFERROR(INDEX('Bid Monitoring'!N:N,MATCH(A77,'Bid Monitoring'!B:B,0)),"Not Found"))</f>
        <v/>
      </c>
      <c r="I77" s="45"/>
      <c r="J77" s="48"/>
      <c r="K77" s="47"/>
      <c r="L77" s="49" t="str">
        <f t="shared" si="1"/>
        <v/>
      </c>
      <c r="M77" s="45"/>
    </row>
    <row r="78" ht="21.75" customHeight="1" spans="1:13">
      <c r="A78" s="29"/>
      <c r="B78" s="41" t="str">
        <f>IF(A78="","",IFERROR(INDEX('Bid Monitoring'!D:D,MATCH(A78,'Bid Monitoring'!B:B,0)),"Not Found"))</f>
        <v/>
      </c>
      <c r="C78" s="29" t="str">
        <f>IF(A78="","",IFERROR(INDEX('Bid Monitoring'!C:C,MATCH(A78,'Bid Monitoring'!B:B,0)),"Not Found"))</f>
        <v/>
      </c>
      <c r="D78" s="42" t="str">
        <f>IF(A78="","",IFERROR(INDEX('Bid Monitoring'!H:H,MATCH(A78,'Bid Monitoring'!B:B,0)),0))</f>
        <v/>
      </c>
      <c r="E78" s="43"/>
      <c r="F78" s="29"/>
      <c r="G78" s="42"/>
      <c r="H78" s="29" t="str">
        <f>IF(A78="","",IFERROR(INDEX('Bid Monitoring'!N:N,MATCH(A78,'Bid Monitoring'!B:B,0)),"Not Found"))</f>
        <v/>
      </c>
      <c r="I78" s="29"/>
      <c r="J78" s="43"/>
      <c r="K78" s="42"/>
      <c r="L78" s="44" t="str">
        <f t="shared" si="1"/>
        <v/>
      </c>
      <c r="M78" s="29"/>
    </row>
    <row r="79" ht="21.75" customHeight="1" spans="1:13">
      <c r="A79" s="45"/>
      <c r="B79" s="46" t="str">
        <f>IF(A79="","",IFERROR(INDEX('Bid Monitoring'!D:D,MATCH(A79,'Bid Monitoring'!B:B,0)),"Not Found"))</f>
        <v/>
      </c>
      <c r="C79" s="45" t="str">
        <f>IF(A79="","",IFERROR(INDEX('Bid Monitoring'!C:C,MATCH(A79,'Bid Monitoring'!B:B,0)),"Not Found"))</f>
        <v/>
      </c>
      <c r="D79" s="47" t="str">
        <f>IF(A79="","",IFERROR(INDEX('Bid Monitoring'!H:H,MATCH(A79,'Bid Monitoring'!B:B,0)),0))</f>
        <v/>
      </c>
      <c r="E79" s="48"/>
      <c r="F79" s="45"/>
      <c r="G79" s="47"/>
      <c r="H79" s="45" t="str">
        <f>IF(A79="","",IFERROR(INDEX('Bid Monitoring'!N:N,MATCH(A79,'Bid Monitoring'!B:B,0)),"Not Found"))</f>
        <v/>
      </c>
      <c r="I79" s="45"/>
      <c r="J79" s="48"/>
      <c r="K79" s="47"/>
      <c r="L79" s="49" t="str">
        <f t="shared" si="1"/>
        <v/>
      </c>
      <c r="M79" s="45"/>
    </row>
    <row r="80" ht="21.75" customHeight="1" spans="1:13">
      <c r="A80" s="29"/>
      <c r="B80" s="41" t="str">
        <f>IF(A80="","",IFERROR(INDEX('Bid Monitoring'!D:D,MATCH(A80,'Bid Monitoring'!B:B,0)),"Not Found"))</f>
        <v/>
      </c>
      <c r="C80" s="29" t="str">
        <f>IF(A80="","",IFERROR(INDEX('Bid Monitoring'!C:C,MATCH(A80,'Bid Monitoring'!B:B,0)),"Not Found"))</f>
        <v/>
      </c>
      <c r="D80" s="42" t="str">
        <f>IF(A80="","",IFERROR(INDEX('Bid Monitoring'!H:H,MATCH(A80,'Bid Monitoring'!B:B,0)),0))</f>
        <v/>
      </c>
      <c r="E80" s="43"/>
      <c r="F80" s="29"/>
      <c r="G80" s="42"/>
      <c r="H80" s="29" t="str">
        <f>IF(A80="","",IFERROR(INDEX('Bid Monitoring'!N:N,MATCH(A80,'Bid Monitoring'!B:B,0)),"Not Found"))</f>
        <v/>
      </c>
      <c r="I80" s="29"/>
      <c r="J80" s="43"/>
      <c r="K80" s="42"/>
      <c r="L80" s="44" t="str">
        <f t="shared" si="1"/>
        <v/>
      </c>
      <c r="M80" s="29"/>
    </row>
    <row r="81" ht="21.75" customHeight="1" spans="1:13">
      <c r="A81" s="45"/>
      <c r="B81" s="46" t="str">
        <f>IF(A81="","",IFERROR(INDEX('Bid Monitoring'!D:D,MATCH(A81,'Bid Monitoring'!B:B,0)),"Not Found"))</f>
        <v/>
      </c>
      <c r="C81" s="45" t="str">
        <f>IF(A81="","",IFERROR(INDEX('Bid Monitoring'!C:C,MATCH(A81,'Bid Monitoring'!B:B,0)),"Not Found"))</f>
        <v/>
      </c>
      <c r="D81" s="47" t="str">
        <f>IF(A81="","",IFERROR(INDEX('Bid Monitoring'!H:H,MATCH(A81,'Bid Monitoring'!B:B,0)),0))</f>
        <v/>
      </c>
      <c r="E81" s="48"/>
      <c r="F81" s="45"/>
      <c r="G81" s="47"/>
      <c r="H81" s="45" t="str">
        <f>IF(A81="","",IFERROR(INDEX('Bid Monitoring'!N:N,MATCH(A81,'Bid Monitoring'!B:B,0)),"Not Found"))</f>
        <v/>
      </c>
      <c r="I81" s="45"/>
      <c r="J81" s="48"/>
      <c r="K81" s="47"/>
      <c r="L81" s="49" t="str">
        <f t="shared" si="1"/>
        <v/>
      </c>
      <c r="M81" s="45"/>
    </row>
    <row r="82" ht="21.75" customHeight="1" spans="1:13">
      <c r="A82" s="29"/>
      <c r="B82" s="41" t="str">
        <f>IF(A82="","",IFERROR(INDEX('Bid Monitoring'!D:D,MATCH(A82,'Bid Monitoring'!B:B,0)),"Not Found"))</f>
        <v/>
      </c>
      <c r="C82" s="29" t="str">
        <f>IF(A82="","",IFERROR(INDEX('Bid Monitoring'!C:C,MATCH(A82,'Bid Monitoring'!B:B,0)),"Not Found"))</f>
        <v/>
      </c>
      <c r="D82" s="42" t="str">
        <f>IF(A82="","",IFERROR(INDEX('Bid Monitoring'!H:H,MATCH(A82,'Bid Monitoring'!B:B,0)),0))</f>
        <v/>
      </c>
      <c r="E82" s="43"/>
      <c r="F82" s="29"/>
      <c r="G82" s="42"/>
      <c r="H82" s="29" t="str">
        <f>IF(A82="","",IFERROR(INDEX('Bid Monitoring'!N:N,MATCH(A82,'Bid Monitoring'!B:B,0)),"Not Found"))</f>
        <v/>
      </c>
      <c r="I82" s="29"/>
      <c r="J82" s="43"/>
      <c r="K82" s="42"/>
      <c r="L82" s="44" t="str">
        <f t="shared" si="1"/>
        <v/>
      </c>
      <c r="M82" s="29"/>
    </row>
    <row r="83" ht="21.75" customHeight="1" spans="1:13">
      <c r="A83" s="45"/>
      <c r="B83" s="46" t="str">
        <f>IF(A83="","",IFERROR(INDEX('Bid Monitoring'!D:D,MATCH(A83,'Bid Monitoring'!B:B,0)),"Not Found"))</f>
        <v/>
      </c>
      <c r="C83" s="45" t="str">
        <f>IF(A83="","",IFERROR(INDEX('Bid Monitoring'!C:C,MATCH(A83,'Bid Monitoring'!B:B,0)),"Not Found"))</f>
        <v/>
      </c>
      <c r="D83" s="47" t="str">
        <f>IF(A83="","",IFERROR(INDEX('Bid Monitoring'!H:H,MATCH(A83,'Bid Monitoring'!B:B,0)),0))</f>
        <v/>
      </c>
      <c r="E83" s="48"/>
      <c r="F83" s="45"/>
      <c r="G83" s="47"/>
      <c r="H83" s="45" t="str">
        <f>IF(A83="","",IFERROR(INDEX('Bid Monitoring'!N:N,MATCH(A83,'Bid Monitoring'!B:B,0)),"Not Found"))</f>
        <v/>
      </c>
      <c r="I83" s="45"/>
      <c r="J83" s="48"/>
      <c r="K83" s="47"/>
      <c r="L83" s="49" t="str">
        <f t="shared" si="1"/>
        <v/>
      </c>
      <c r="M83" s="45"/>
    </row>
    <row r="84" ht="21.75" customHeight="1" spans="1:13">
      <c r="A84" s="29"/>
      <c r="B84" s="41" t="str">
        <f>IF(A84="","",IFERROR(INDEX('Bid Monitoring'!D:D,MATCH(A84,'Bid Monitoring'!B:B,0)),"Not Found"))</f>
        <v/>
      </c>
      <c r="C84" s="29" t="str">
        <f>IF(A84="","",IFERROR(INDEX('Bid Monitoring'!C:C,MATCH(A84,'Bid Monitoring'!B:B,0)),"Not Found"))</f>
        <v/>
      </c>
      <c r="D84" s="42" t="str">
        <f>IF(A84="","",IFERROR(INDEX('Bid Monitoring'!H:H,MATCH(A84,'Bid Monitoring'!B:B,0)),0))</f>
        <v/>
      </c>
      <c r="E84" s="43"/>
      <c r="F84" s="29"/>
      <c r="G84" s="42"/>
      <c r="H84" s="29" t="str">
        <f>IF(A84="","",IFERROR(INDEX('Bid Monitoring'!N:N,MATCH(A84,'Bid Monitoring'!B:B,0)),"Not Found"))</f>
        <v/>
      </c>
      <c r="I84" s="29"/>
      <c r="J84" s="43"/>
      <c r="K84" s="42"/>
      <c r="L84" s="44" t="str">
        <f t="shared" si="1"/>
        <v/>
      </c>
      <c r="M84" s="29"/>
    </row>
    <row r="85" ht="21.75" customHeight="1" spans="1:13">
      <c r="A85" s="45"/>
      <c r="B85" s="46" t="str">
        <f>IF(A85="","",IFERROR(INDEX('Bid Monitoring'!D:D,MATCH(A85,'Bid Monitoring'!B:B,0)),"Not Found"))</f>
        <v/>
      </c>
      <c r="C85" s="45" t="str">
        <f>IF(A85="","",IFERROR(INDEX('Bid Monitoring'!C:C,MATCH(A85,'Bid Monitoring'!B:B,0)),"Not Found"))</f>
        <v/>
      </c>
      <c r="D85" s="47" t="str">
        <f>IF(A85="","",IFERROR(INDEX('Bid Monitoring'!H:H,MATCH(A85,'Bid Monitoring'!B:B,0)),0))</f>
        <v/>
      </c>
      <c r="E85" s="48"/>
      <c r="F85" s="45"/>
      <c r="G85" s="47"/>
      <c r="H85" s="45" t="str">
        <f>IF(A85="","",IFERROR(INDEX('Bid Monitoring'!N:N,MATCH(A85,'Bid Monitoring'!B:B,0)),"Not Found"))</f>
        <v/>
      </c>
      <c r="I85" s="45"/>
      <c r="J85" s="48"/>
      <c r="K85" s="47"/>
      <c r="L85" s="49" t="str">
        <f t="shared" si="1"/>
        <v/>
      </c>
      <c r="M85" s="45"/>
    </row>
    <row r="86" ht="21.75" customHeight="1" spans="1:13">
      <c r="A86" s="29"/>
      <c r="B86" s="41" t="str">
        <f>IF(A86="","",IFERROR(INDEX('Bid Monitoring'!D:D,MATCH(A86,'Bid Monitoring'!B:B,0)),"Not Found"))</f>
        <v/>
      </c>
      <c r="C86" s="29" t="str">
        <f>IF(A86="","",IFERROR(INDEX('Bid Monitoring'!C:C,MATCH(A86,'Bid Monitoring'!B:B,0)),"Not Found"))</f>
        <v/>
      </c>
      <c r="D86" s="42" t="str">
        <f>IF(A86="","",IFERROR(INDEX('Bid Monitoring'!H:H,MATCH(A86,'Bid Monitoring'!B:B,0)),0))</f>
        <v/>
      </c>
      <c r="E86" s="43"/>
      <c r="F86" s="29"/>
      <c r="G86" s="42"/>
      <c r="H86" s="29" t="str">
        <f>IF(A86="","",IFERROR(INDEX('Bid Monitoring'!N:N,MATCH(A86,'Bid Monitoring'!B:B,0)),"Not Found"))</f>
        <v/>
      </c>
      <c r="I86" s="29"/>
      <c r="J86" s="43"/>
      <c r="K86" s="42"/>
      <c r="L86" s="44" t="str">
        <f t="shared" si="1"/>
        <v/>
      </c>
      <c r="M86" s="29"/>
    </row>
    <row r="87" ht="21.75" customHeight="1" spans="1:13">
      <c r="A87" s="45"/>
      <c r="B87" s="46" t="str">
        <f>IF(A87="","",IFERROR(INDEX('Bid Monitoring'!D:D,MATCH(A87,'Bid Monitoring'!B:B,0)),"Not Found"))</f>
        <v/>
      </c>
      <c r="C87" s="45" t="str">
        <f>IF(A87="","",IFERROR(INDEX('Bid Monitoring'!C:C,MATCH(A87,'Bid Monitoring'!B:B,0)),"Not Found"))</f>
        <v/>
      </c>
      <c r="D87" s="47" t="str">
        <f>IF(A87="","",IFERROR(INDEX('Bid Monitoring'!H:H,MATCH(A87,'Bid Monitoring'!B:B,0)),0))</f>
        <v/>
      </c>
      <c r="E87" s="48"/>
      <c r="F87" s="45"/>
      <c r="G87" s="47"/>
      <c r="H87" s="45" t="str">
        <f>IF(A87="","",IFERROR(INDEX('Bid Monitoring'!N:N,MATCH(A87,'Bid Monitoring'!B:B,0)),"Not Found"))</f>
        <v/>
      </c>
      <c r="I87" s="45"/>
      <c r="J87" s="48"/>
      <c r="K87" s="47"/>
      <c r="L87" s="49" t="str">
        <f t="shared" si="1"/>
        <v/>
      </c>
      <c r="M87" s="45"/>
    </row>
    <row r="88" ht="21.75" customHeight="1" spans="1:13">
      <c r="A88" s="29"/>
      <c r="B88" s="41" t="str">
        <f>IF(A88="","",IFERROR(INDEX('Bid Monitoring'!D:D,MATCH(A88,'Bid Monitoring'!B:B,0)),"Not Found"))</f>
        <v/>
      </c>
      <c r="C88" s="29" t="str">
        <f>IF(A88="","",IFERROR(INDEX('Bid Monitoring'!C:C,MATCH(A88,'Bid Monitoring'!B:B,0)),"Not Found"))</f>
        <v/>
      </c>
      <c r="D88" s="42" t="str">
        <f>IF(A88="","",IFERROR(INDEX('Bid Monitoring'!H:H,MATCH(A88,'Bid Monitoring'!B:B,0)),0))</f>
        <v/>
      </c>
      <c r="E88" s="43"/>
      <c r="F88" s="29"/>
      <c r="G88" s="42"/>
      <c r="H88" s="29" t="str">
        <f>IF(A88="","",IFERROR(INDEX('Bid Monitoring'!N:N,MATCH(A88,'Bid Monitoring'!B:B,0)),"Not Found"))</f>
        <v/>
      </c>
      <c r="I88" s="29"/>
      <c r="J88" s="43"/>
      <c r="K88" s="42"/>
      <c r="L88" s="44" t="str">
        <f t="shared" si="1"/>
        <v/>
      </c>
      <c r="M88" s="29"/>
    </row>
    <row r="89" ht="21.75" customHeight="1" spans="1:13">
      <c r="A89" s="45"/>
      <c r="B89" s="46" t="str">
        <f>IF(A89="","",IFERROR(INDEX('Bid Monitoring'!D:D,MATCH(A89,'Bid Monitoring'!B:B,0)),"Not Found"))</f>
        <v/>
      </c>
      <c r="C89" s="45" t="str">
        <f>IF(A89="","",IFERROR(INDEX('Bid Monitoring'!C:C,MATCH(A89,'Bid Monitoring'!B:B,0)),"Not Found"))</f>
        <v/>
      </c>
      <c r="D89" s="47" t="str">
        <f>IF(A89="","",IFERROR(INDEX('Bid Monitoring'!H:H,MATCH(A89,'Bid Monitoring'!B:B,0)),0))</f>
        <v/>
      </c>
      <c r="E89" s="48"/>
      <c r="F89" s="45"/>
      <c r="G89" s="47"/>
      <c r="H89" s="45" t="str">
        <f>IF(A89="","",IFERROR(INDEX('Bid Monitoring'!N:N,MATCH(A89,'Bid Monitoring'!B:B,0)),"Not Found"))</f>
        <v/>
      </c>
      <c r="I89" s="45"/>
      <c r="J89" s="48"/>
      <c r="K89" s="47"/>
      <c r="L89" s="49" t="str">
        <f t="shared" si="1"/>
        <v/>
      </c>
      <c r="M89" s="45"/>
    </row>
    <row r="90" ht="21.75" customHeight="1" spans="1:13">
      <c r="A90" s="29"/>
      <c r="B90" s="41" t="str">
        <f>IF(A90="","",IFERROR(INDEX('Bid Monitoring'!D:D,MATCH(A90,'Bid Monitoring'!B:B,0)),"Not Found"))</f>
        <v/>
      </c>
      <c r="C90" s="29" t="str">
        <f>IF(A90="","",IFERROR(INDEX('Bid Monitoring'!C:C,MATCH(A90,'Bid Monitoring'!B:B,0)),"Not Found"))</f>
        <v/>
      </c>
      <c r="D90" s="42" t="str">
        <f>IF(A90="","",IFERROR(INDEX('Bid Monitoring'!H:H,MATCH(A90,'Bid Monitoring'!B:B,0)),0))</f>
        <v/>
      </c>
      <c r="E90" s="43"/>
      <c r="F90" s="29"/>
      <c r="G90" s="42"/>
      <c r="H90" s="29" t="str">
        <f>IF(A90="","",IFERROR(INDEX('Bid Monitoring'!N:N,MATCH(A90,'Bid Monitoring'!B:B,0)),"Not Found"))</f>
        <v/>
      </c>
      <c r="I90" s="29"/>
      <c r="J90" s="43"/>
      <c r="K90" s="42"/>
      <c r="L90" s="44" t="str">
        <f t="shared" si="1"/>
        <v/>
      </c>
      <c r="M90" s="29"/>
    </row>
    <row r="91" ht="21.75" customHeight="1" spans="1:13">
      <c r="A91" s="45"/>
      <c r="B91" s="46" t="str">
        <f>IF(A91="","",IFERROR(INDEX('Bid Monitoring'!D:D,MATCH(A91,'Bid Monitoring'!B:B,0)),"Not Found"))</f>
        <v/>
      </c>
      <c r="C91" s="45" t="str">
        <f>IF(A91="","",IFERROR(INDEX('Bid Monitoring'!C:C,MATCH(A91,'Bid Monitoring'!B:B,0)),"Not Found"))</f>
        <v/>
      </c>
      <c r="D91" s="47" t="str">
        <f>IF(A91="","",IFERROR(INDEX('Bid Monitoring'!H:H,MATCH(A91,'Bid Monitoring'!B:B,0)),0))</f>
        <v/>
      </c>
      <c r="E91" s="48"/>
      <c r="F91" s="45"/>
      <c r="G91" s="47"/>
      <c r="H91" s="45" t="str">
        <f>IF(A91="","",IFERROR(INDEX('Bid Monitoring'!N:N,MATCH(A91,'Bid Monitoring'!B:B,0)),"Not Found"))</f>
        <v/>
      </c>
      <c r="I91" s="45"/>
      <c r="J91" s="48"/>
      <c r="K91" s="47"/>
      <c r="L91" s="49" t="str">
        <f t="shared" si="1"/>
        <v/>
      </c>
      <c r="M91" s="45"/>
    </row>
    <row r="92" ht="21.75" customHeight="1" spans="1:13">
      <c r="A92" s="29"/>
      <c r="B92" s="41" t="str">
        <f>IF(A92="","",IFERROR(INDEX('Bid Monitoring'!D:D,MATCH(A92,'Bid Monitoring'!B:B,0)),"Not Found"))</f>
        <v/>
      </c>
      <c r="C92" s="29" t="str">
        <f>IF(A92="","",IFERROR(INDEX('Bid Monitoring'!C:C,MATCH(A92,'Bid Monitoring'!B:B,0)),"Not Found"))</f>
        <v/>
      </c>
      <c r="D92" s="42" t="str">
        <f>IF(A92="","",IFERROR(INDEX('Bid Monitoring'!H:H,MATCH(A92,'Bid Monitoring'!B:B,0)),0))</f>
        <v/>
      </c>
      <c r="E92" s="43"/>
      <c r="F92" s="29"/>
      <c r="G92" s="42"/>
      <c r="H92" s="29" t="str">
        <f>IF(A92="","",IFERROR(INDEX('Bid Monitoring'!N:N,MATCH(A92,'Bid Monitoring'!B:B,0)),"Not Found"))</f>
        <v/>
      </c>
      <c r="I92" s="29"/>
      <c r="J92" s="43"/>
      <c r="K92" s="42"/>
      <c r="L92" s="44" t="str">
        <f t="shared" si="1"/>
        <v/>
      </c>
      <c r="M92" s="29"/>
    </row>
    <row r="93" ht="21.75" customHeight="1" spans="1:13">
      <c r="A93" s="45"/>
      <c r="B93" s="46" t="str">
        <f>IF(A93="","",IFERROR(INDEX('Bid Monitoring'!D:D,MATCH(A93,'Bid Monitoring'!B:B,0)),"Not Found"))</f>
        <v/>
      </c>
      <c r="C93" s="45" t="str">
        <f>IF(A93="","",IFERROR(INDEX('Bid Monitoring'!C:C,MATCH(A93,'Bid Monitoring'!B:B,0)),"Not Found"))</f>
        <v/>
      </c>
      <c r="D93" s="47" t="str">
        <f>IF(A93="","",IFERROR(INDEX('Bid Monitoring'!H:H,MATCH(A93,'Bid Monitoring'!B:B,0)),0))</f>
        <v/>
      </c>
      <c r="E93" s="48"/>
      <c r="F93" s="45"/>
      <c r="G93" s="47"/>
      <c r="H93" s="45" t="str">
        <f>IF(A93="","",IFERROR(INDEX('Bid Monitoring'!N:N,MATCH(A93,'Bid Monitoring'!B:B,0)),"Not Found"))</f>
        <v/>
      </c>
      <c r="I93" s="45"/>
      <c r="J93" s="48"/>
      <c r="K93" s="47"/>
      <c r="L93" s="49" t="str">
        <f t="shared" si="1"/>
        <v/>
      </c>
      <c r="M93" s="45"/>
    </row>
    <row r="94" ht="21.75" customHeight="1" spans="1:13">
      <c r="A94" s="29"/>
      <c r="B94" s="41" t="str">
        <f>IF(A94="","",IFERROR(INDEX('Bid Monitoring'!D:D,MATCH(A94,'Bid Monitoring'!B:B,0)),"Not Found"))</f>
        <v/>
      </c>
      <c r="C94" s="29" t="str">
        <f>IF(A94="","",IFERROR(INDEX('Bid Monitoring'!C:C,MATCH(A94,'Bid Monitoring'!B:B,0)),"Not Found"))</f>
        <v/>
      </c>
      <c r="D94" s="42" t="str">
        <f>IF(A94="","",IFERROR(INDEX('Bid Monitoring'!H:H,MATCH(A94,'Bid Monitoring'!B:B,0)),0))</f>
        <v/>
      </c>
      <c r="E94" s="43"/>
      <c r="F94" s="29"/>
      <c r="G94" s="42"/>
      <c r="H94" s="29" t="str">
        <f>IF(A94="","",IFERROR(INDEX('Bid Monitoring'!N:N,MATCH(A94,'Bid Monitoring'!B:B,0)),"Not Found"))</f>
        <v/>
      </c>
      <c r="I94" s="29"/>
      <c r="J94" s="43"/>
      <c r="K94" s="42"/>
      <c r="L94" s="44" t="str">
        <f t="shared" si="1"/>
        <v/>
      </c>
      <c r="M94" s="29"/>
    </row>
    <row r="95" ht="21.75" customHeight="1" spans="1:13">
      <c r="A95" s="45"/>
      <c r="B95" s="46" t="str">
        <f>IF(A95="","",IFERROR(INDEX('Bid Monitoring'!D:D,MATCH(A95,'Bid Monitoring'!B:B,0)),"Not Found"))</f>
        <v/>
      </c>
      <c r="C95" s="45" t="str">
        <f>IF(A95="","",IFERROR(INDEX('Bid Monitoring'!C:C,MATCH(A95,'Bid Monitoring'!B:B,0)),"Not Found"))</f>
        <v/>
      </c>
      <c r="D95" s="47" t="str">
        <f>IF(A95="","",IFERROR(INDEX('Bid Monitoring'!H:H,MATCH(A95,'Bid Monitoring'!B:B,0)),0))</f>
        <v/>
      </c>
      <c r="E95" s="48"/>
      <c r="F95" s="45"/>
      <c r="G95" s="47"/>
      <c r="H95" s="45" t="str">
        <f>IF(A95="","",IFERROR(INDEX('Bid Monitoring'!N:N,MATCH(A95,'Bid Monitoring'!B:B,0)),"Not Found"))</f>
        <v/>
      </c>
      <c r="I95" s="45"/>
      <c r="J95" s="48"/>
      <c r="K95" s="47"/>
      <c r="L95" s="49" t="str">
        <f t="shared" si="1"/>
        <v/>
      </c>
      <c r="M95" s="45"/>
    </row>
    <row r="96" ht="21.75" customHeight="1" spans="1:13">
      <c r="A96" s="29"/>
      <c r="B96" s="41" t="str">
        <f>IF(A96="","",IFERROR(INDEX('Bid Monitoring'!D:D,MATCH(A96,'Bid Monitoring'!B:B,0)),"Not Found"))</f>
        <v/>
      </c>
      <c r="C96" s="29" t="str">
        <f>IF(A96="","",IFERROR(INDEX('Bid Monitoring'!C:C,MATCH(A96,'Bid Monitoring'!B:B,0)),"Not Found"))</f>
        <v/>
      </c>
      <c r="D96" s="42" t="str">
        <f>IF(A96="","",IFERROR(INDEX('Bid Monitoring'!H:H,MATCH(A96,'Bid Monitoring'!B:B,0)),0))</f>
        <v/>
      </c>
      <c r="E96" s="43"/>
      <c r="F96" s="29"/>
      <c r="G96" s="42"/>
      <c r="H96" s="29" t="str">
        <f>IF(A96="","",IFERROR(INDEX('Bid Monitoring'!N:N,MATCH(A96,'Bid Monitoring'!B:B,0)),"Not Found"))</f>
        <v/>
      </c>
      <c r="I96" s="29"/>
      <c r="J96" s="43"/>
      <c r="K96" s="42"/>
      <c r="L96" s="44" t="str">
        <f t="shared" si="1"/>
        <v/>
      </c>
      <c r="M96" s="29"/>
    </row>
    <row r="97" ht="21.75" customHeight="1" spans="1:13">
      <c r="A97" s="45"/>
      <c r="B97" s="46" t="str">
        <f>IF(A97="","",IFERROR(INDEX('Bid Monitoring'!D:D,MATCH(A97,'Bid Monitoring'!B:B,0)),"Not Found"))</f>
        <v/>
      </c>
      <c r="C97" s="45" t="str">
        <f>IF(A97="","",IFERROR(INDEX('Bid Monitoring'!C:C,MATCH(A97,'Bid Monitoring'!B:B,0)),"Not Found"))</f>
        <v/>
      </c>
      <c r="D97" s="47" t="str">
        <f>IF(A97="","",IFERROR(INDEX('Bid Monitoring'!H:H,MATCH(A97,'Bid Monitoring'!B:B,0)),0))</f>
        <v/>
      </c>
      <c r="E97" s="48"/>
      <c r="F97" s="45"/>
      <c r="G97" s="47"/>
      <c r="H97" s="45" t="str">
        <f>IF(A97="","",IFERROR(INDEX('Bid Monitoring'!N:N,MATCH(A97,'Bid Monitoring'!B:B,0)),"Not Found"))</f>
        <v/>
      </c>
      <c r="I97" s="45"/>
      <c r="J97" s="48"/>
      <c r="K97" s="47"/>
      <c r="L97" s="49" t="str">
        <f t="shared" si="1"/>
        <v/>
      </c>
      <c r="M97" s="45"/>
    </row>
    <row r="98" ht="21.75" customHeight="1" spans="1:13">
      <c r="A98" s="29"/>
      <c r="B98" s="41" t="str">
        <f>IF(A98="","",IFERROR(INDEX('Bid Monitoring'!D:D,MATCH(A98,'Bid Monitoring'!B:B,0)),"Not Found"))</f>
        <v/>
      </c>
      <c r="C98" s="29" t="str">
        <f>IF(A98="","",IFERROR(INDEX('Bid Monitoring'!C:C,MATCH(A98,'Bid Monitoring'!B:B,0)),"Not Found"))</f>
        <v/>
      </c>
      <c r="D98" s="42" t="str">
        <f>IF(A98="","",IFERROR(INDEX('Bid Monitoring'!H:H,MATCH(A98,'Bid Monitoring'!B:B,0)),0))</f>
        <v/>
      </c>
      <c r="E98" s="43"/>
      <c r="F98" s="29"/>
      <c r="G98" s="42"/>
      <c r="H98" s="29" t="str">
        <f>IF(A98="","",IFERROR(INDEX('Bid Monitoring'!N:N,MATCH(A98,'Bid Monitoring'!B:B,0)),"Not Found"))</f>
        <v/>
      </c>
      <c r="I98" s="29"/>
      <c r="J98" s="43"/>
      <c r="K98" s="42"/>
      <c r="L98" s="44" t="str">
        <f t="shared" si="1"/>
        <v/>
      </c>
      <c r="M98" s="29"/>
    </row>
    <row r="99" ht="21.75" customHeight="1" spans="1:13">
      <c r="A99" s="45"/>
      <c r="B99" s="46" t="str">
        <f>IF(A99="","",IFERROR(INDEX('Bid Monitoring'!D:D,MATCH(A99,'Bid Monitoring'!B:B,0)),"Not Found"))</f>
        <v/>
      </c>
      <c r="C99" s="45" t="str">
        <f>IF(A99="","",IFERROR(INDEX('Bid Monitoring'!C:C,MATCH(A99,'Bid Monitoring'!B:B,0)),"Not Found"))</f>
        <v/>
      </c>
      <c r="D99" s="47" t="str">
        <f>IF(A99="","",IFERROR(INDEX('Bid Monitoring'!H:H,MATCH(A99,'Bid Monitoring'!B:B,0)),0))</f>
        <v/>
      </c>
      <c r="E99" s="48"/>
      <c r="F99" s="45"/>
      <c r="G99" s="47"/>
      <c r="H99" s="45" t="str">
        <f>IF(A99="","",IFERROR(INDEX('Bid Monitoring'!N:N,MATCH(A99,'Bid Monitoring'!B:B,0)),"Not Found"))</f>
        <v/>
      </c>
      <c r="I99" s="45"/>
      <c r="J99" s="48"/>
      <c r="K99" s="47"/>
      <c r="L99" s="49" t="str">
        <f t="shared" si="1"/>
        <v/>
      </c>
      <c r="M99" s="45"/>
    </row>
    <row r="100" ht="21.75" customHeight="1" spans="1:13">
      <c r="A100" s="29"/>
      <c r="B100" s="41" t="str">
        <f>IF(A100="","",IFERROR(INDEX('Bid Monitoring'!D:D,MATCH(A100,'Bid Monitoring'!B:B,0)),"Not Found"))</f>
        <v/>
      </c>
      <c r="C100" s="29" t="str">
        <f>IF(A100="","",IFERROR(INDEX('Bid Monitoring'!C:C,MATCH(A100,'Bid Monitoring'!B:B,0)),"Not Found"))</f>
        <v/>
      </c>
      <c r="D100" s="42" t="str">
        <f>IF(A100="","",IFERROR(INDEX('Bid Monitoring'!H:H,MATCH(A100,'Bid Monitoring'!B:B,0)),0))</f>
        <v/>
      </c>
      <c r="E100" s="43"/>
      <c r="F100" s="29"/>
      <c r="G100" s="42"/>
      <c r="H100" s="29" t="str">
        <f>IF(A100="","",IFERROR(INDEX('Bid Monitoring'!N:N,MATCH(A100,'Bid Monitoring'!B:B,0)),"Not Found"))</f>
        <v/>
      </c>
      <c r="I100" s="29"/>
      <c r="J100" s="43"/>
      <c r="K100" s="42"/>
      <c r="L100" s="44" t="str">
        <f t="shared" si="1"/>
        <v/>
      </c>
      <c r="M100" s="29"/>
    </row>
    <row r="101" ht="21.75" customHeight="1" spans="1:13">
      <c r="A101" s="45"/>
      <c r="B101" s="46" t="str">
        <f>IF(A101="","",IFERROR(INDEX('Bid Monitoring'!D:D,MATCH(A101,'Bid Monitoring'!B:B,0)),"Not Found"))</f>
        <v/>
      </c>
      <c r="C101" s="45" t="str">
        <f>IF(A101="","",IFERROR(INDEX('Bid Monitoring'!C:C,MATCH(A101,'Bid Monitoring'!B:B,0)),"Not Found"))</f>
        <v/>
      </c>
      <c r="D101" s="47" t="str">
        <f>IF(A101="","",IFERROR(INDEX('Bid Monitoring'!H:H,MATCH(A101,'Bid Monitoring'!B:B,0)),0))</f>
        <v/>
      </c>
      <c r="E101" s="48"/>
      <c r="F101" s="45"/>
      <c r="G101" s="47"/>
      <c r="H101" s="45" t="str">
        <f>IF(A101="","",IFERROR(INDEX('Bid Monitoring'!N:N,MATCH(A101,'Bid Monitoring'!B:B,0)),"Not Found"))</f>
        <v/>
      </c>
      <c r="I101" s="45"/>
      <c r="J101" s="48"/>
      <c r="K101" s="47"/>
      <c r="L101" s="49" t="str">
        <f t="shared" si="1"/>
        <v/>
      </c>
      <c r="M101" s="45"/>
    </row>
    <row r="102" ht="21.75" customHeight="1" spans="1:13">
      <c r="A102" s="29"/>
      <c r="B102" s="41" t="str">
        <f>IF(A102="","",IFERROR(INDEX('Bid Monitoring'!D:D,MATCH(A102,'Bid Monitoring'!B:B,0)),"Not Found"))</f>
        <v/>
      </c>
      <c r="C102" s="29" t="str">
        <f>IF(A102="","",IFERROR(INDEX('Bid Monitoring'!C:C,MATCH(A102,'Bid Monitoring'!B:B,0)),"Not Found"))</f>
        <v/>
      </c>
      <c r="D102" s="42" t="str">
        <f>IF(A102="","",IFERROR(INDEX('Bid Monitoring'!H:H,MATCH(A102,'Bid Monitoring'!B:B,0)),0))</f>
        <v/>
      </c>
      <c r="E102" s="43"/>
      <c r="F102" s="29"/>
      <c r="G102" s="42"/>
      <c r="H102" s="29" t="str">
        <f>IF(A102="","",IFERROR(INDEX('Bid Monitoring'!N:N,MATCH(A102,'Bid Monitoring'!B:B,0)),"Not Found"))</f>
        <v/>
      </c>
      <c r="I102" s="29"/>
      <c r="J102" s="43"/>
      <c r="K102" s="42"/>
      <c r="L102" s="44" t="str">
        <f t="shared" si="1"/>
        <v/>
      </c>
      <c r="M102" s="29"/>
    </row>
    <row r="103" ht="21.75" customHeight="1" spans="1:13">
      <c r="A103" s="45"/>
      <c r="B103" s="46" t="str">
        <f>IF(A103="","",IFERROR(INDEX('Bid Monitoring'!D:D,MATCH(A103,'Bid Monitoring'!B:B,0)),"Not Found"))</f>
        <v/>
      </c>
      <c r="C103" s="45" t="str">
        <f>IF(A103="","",IFERROR(INDEX('Bid Monitoring'!C:C,MATCH(A103,'Bid Monitoring'!B:B,0)),"Not Found"))</f>
        <v/>
      </c>
      <c r="D103" s="47" t="str">
        <f>IF(A103="","",IFERROR(INDEX('Bid Monitoring'!H:H,MATCH(A103,'Bid Monitoring'!B:B,0)),0))</f>
        <v/>
      </c>
      <c r="E103" s="48"/>
      <c r="F103" s="45"/>
      <c r="G103" s="47"/>
      <c r="H103" s="45" t="str">
        <f>IF(A103="","",IFERROR(INDEX('Bid Monitoring'!N:N,MATCH(A103,'Bid Monitoring'!B:B,0)),"Not Found"))</f>
        <v/>
      </c>
      <c r="I103" s="45"/>
      <c r="J103" s="48"/>
      <c r="K103" s="47"/>
      <c r="L103" s="49" t="str">
        <f t="shared" si="1"/>
        <v/>
      </c>
      <c r="M103" s="45"/>
    </row>
  </sheetData>
  <mergeCells count="2">
    <mergeCell ref="A1:M1"/>
    <mergeCell ref="A2:M2"/>
  </mergeCells>
  <conditionalFormatting sqref="A6">
    <cfRule type="expression" dxfId="27" priority="2">
      <formula>$N6="Cancelled"</formula>
    </cfRule>
    <cfRule type="expression" dxfId="6" priority="3">
      <formula>AND($I6&lt;&gt;"",$I6=TODAY(),$N6&lt;&gt;"Cancelled")</formula>
    </cfRule>
    <cfRule type="expression" dxfId="28" priority="4">
      <formula>AND($I6&lt;&gt;"",$I6&lt;TODAY(),$N6&lt;&gt;"Cancelled")</formula>
    </cfRule>
    <cfRule type="expression" dxfId="29" priority="5">
      <formula>AND($I6&lt;&gt;"",$I6=TODAY()+1,$N6&lt;&gt;"Cancelled")</formula>
    </cfRule>
    <cfRule type="expression" dxfId="30" priority="6">
      <formula>AND($I6&lt;&gt;"",$I6&gt;=TODAY()+2,$I6&lt;=TODAY()+4,$N6&lt;&gt;"Cancelled")</formula>
    </cfRule>
    <cfRule type="expression" dxfId="31" priority="7">
      <formula>AND($I6&lt;&gt;"",$I6&gt;=TODAY()+5,$N6&lt;&gt;"Cancelled")</formula>
    </cfRule>
  </conditionalFormatting>
  <conditionalFormatting sqref="A4:M5 A7:M200 B6:M6">
    <cfRule type="expression" dxfId="32" priority="8">
      <formula>$H4="Awarded"</formula>
    </cfRule>
    <cfRule type="expression" dxfId="33" priority="9">
      <formula>$H4="Lost"</formula>
    </cfRule>
    <cfRule type="expression" dxfId="34" priority="10">
      <formula>$H4="Under Evaluation"</formula>
    </cfRule>
  </conditionalFormatting>
  <dataValidations count="4">
    <dataValidation type="list" allowBlank="1" sqref="G3 G201:G500 G4:H200">
      <formula1>"Submitted,Under Evaluation,Awarded,Lost,Cancelled"</formula1>
    </dataValidation>
    <dataValidation type="list" allowBlank="1" sqref="E3:E500">
      <formula1>"Electronic,Physical,Courier,Email"</formula1>
    </dataValidation>
    <dataValidation type="list" allowBlank="1" sqref="F4:F200">
      <formula1>"Electronic,Physical,Courier,Email,Hand-carried"</formula1>
    </dataValidation>
    <dataValidation type="list" allowBlank="1" sqref="I4:I200">
      <formula1>"Won,Lost,Pending,Disqualified"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showGridLines="0" workbookViewId="0">
      <selection activeCell="G6" sqref="G6:J6"/>
    </sheetView>
  </sheetViews>
  <sheetFormatPr defaultColWidth="8.71428571428571" defaultRowHeight="15"/>
  <cols>
    <col min="1" max="1" width="30" style="1" customWidth="1"/>
    <col min="2" max="3" width="12" style="1" customWidth="1"/>
    <col min="4" max="4" width="16" style="1" customWidth="1"/>
    <col min="5" max="5" width="10" style="1" customWidth="1"/>
    <col min="6" max="7" width="12" style="1" customWidth="1"/>
  </cols>
  <sheetData>
    <row r="1" ht="37.5" customHeight="1" spans="1:10">
      <c r="A1" s="14" t="s">
        <v>248</v>
      </c>
      <c r="B1" s="14"/>
      <c r="C1" s="14"/>
      <c r="D1" s="14"/>
      <c r="E1" s="14"/>
      <c r="F1" s="14"/>
      <c r="G1" s="14"/>
      <c r="H1" s="14"/>
      <c r="I1" s="14"/>
      <c r="J1" s="14"/>
    </row>
    <row r="2" ht="24" customHeight="1" spans="1:10">
      <c r="A2" s="15" t="s">
        <v>249</v>
      </c>
      <c r="B2" s="15"/>
      <c r="C2" s="15"/>
      <c r="D2" s="15"/>
      <c r="E2" s="15"/>
      <c r="F2" s="16">
        <f ca="1">TODAY()</f>
        <v>46193</v>
      </c>
      <c r="G2" s="16"/>
      <c r="H2" s="16"/>
      <c r="I2" s="16"/>
      <c r="J2" s="16"/>
    </row>
    <row r="3" ht="9.75" customHeight="1"/>
    <row r="4" ht="30" customHeight="1" spans="1:10">
      <c r="A4" s="17" t="s">
        <v>250</v>
      </c>
      <c r="B4" s="17"/>
      <c r="C4" s="17"/>
      <c r="D4" s="17"/>
      <c r="E4" s="17"/>
      <c r="F4" s="17"/>
      <c r="G4" s="17"/>
      <c r="H4" s="17"/>
      <c r="I4" s="17"/>
      <c r="J4" s="17"/>
    </row>
    <row r="5" ht="24" customHeight="1" spans="1:10">
      <c r="A5" s="18" t="s">
        <v>251</v>
      </c>
      <c r="B5" s="18"/>
      <c r="C5" s="18"/>
      <c r="D5" s="18"/>
      <c r="E5" s="18"/>
      <c r="F5" s="18"/>
      <c r="G5" s="19">
        <f ca="1">COUNTIFS('Bid Monitoring'!A:A,TODAY())</f>
        <v>2</v>
      </c>
      <c r="H5" s="19"/>
      <c r="I5" s="19"/>
      <c r="J5" s="19"/>
    </row>
    <row r="6" ht="24" customHeight="1" spans="1:10">
      <c r="A6" s="20" t="s">
        <v>252</v>
      </c>
      <c r="B6" s="20"/>
      <c r="C6" s="20"/>
      <c r="D6" s="20"/>
      <c r="E6" s="20"/>
      <c r="F6" s="20"/>
      <c r="G6" s="19">
        <f ca="1">COUNTIFS('Bid Monitoring'!A:A,TODAY(),'Bid Monitoring'!N:N,"New")</f>
        <v>0</v>
      </c>
      <c r="H6" s="19"/>
      <c r="I6" s="19"/>
      <c r="J6" s="19"/>
    </row>
    <row r="7" ht="24" customHeight="1" spans="1:10">
      <c r="A7" s="18" t="s">
        <v>253</v>
      </c>
      <c r="B7" s="18"/>
      <c r="C7" s="18"/>
      <c r="D7" s="18"/>
      <c r="E7" s="18"/>
      <c r="F7" s="18"/>
      <c r="G7" s="19">
        <f ca="1">COUNTIFS('Bid Monitoring'!L:L,"High")</f>
        <v>25</v>
      </c>
      <c r="H7" s="19"/>
      <c r="I7" s="19"/>
      <c r="J7" s="19"/>
    </row>
    <row r="8" ht="24" customHeight="1" spans="1:10">
      <c r="A8" s="20" t="s">
        <v>254</v>
      </c>
      <c r="B8" s="20"/>
      <c r="C8" s="20"/>
      <c r="D8" s="20"/>
      <c r="E8" s="20"/>
      <c r="F8" s="20"/>
      <c r="G8" s="19">
        <f ca="1">COUNTIFS('Bid Monitoring'!K:K,"&gt;0",'Bid Monitoring'!K:K,"&lt;=7")</f>
        <v>8</v>
      </c>
      <c r="H8" s="19"/>
      <c r="I8" s="19"/>
      <c r="J8" s="19"/>
    </row>
    <row r="9" ht="24" customHeight="1" spans="1:10">
      <c r="A9" s="18" t="s">
        <v>255</v>
      </c>
      <c r="B9" s="18"/>
      <c r="C9" s="18"/>
      <c r="D9" s="18"/>
      <c r="E9" s="18"/>
      <c r="F9" s="18"/>
      <c r="G9" s="21">
        <f ca="1">COUNTIF('Bid Monitoring'!U:U,"🚨 FLAG")</f>
        <v>0</v>
      </c>
      <c r="H9" s="21"/>
      <c r="I9" s="21"/>
      <c r="J9" s="21"/>
    </row>
    <row r="10" ht="24" customHeight="1" spans="1:10">
      <c r="A10" s="20" t="s">
        <v>256</v>
      </c>
      <c r="B10" s="20"/>
      <c r="C10" s="20"/>
      <c r="D10" s="20"/>
      <c r="E10" s="20"/>
      <c r="F10" s="20"/>
      <c r="G10" s="19">
        <f ca="1">COUNTIF('Bid Monitoring'!U:U,"✅ Highly Recommended")</f>
        <v>1</v>
      </c>
      <c r="H10" s="19"/>
      <c r="I10" s="19"/>
      <c r="J10" s="19"/>
    </row>
    <row r="11" ht="24" customHeight="1" spans="1:10">
      <c r="A11" s="18" t="s">
        <v>257</v>
      </c>
      <c r="B11" s="18"/>
      <c r="C11" s="18"/>
      <c r="D11" s="18"/>
      <c r="E11" s="18"/>
      <c r="F11" s="18"/>
      <c r="G11" s="21">
        <f>SUMIFS('Bid Monitoring'!H:H,'Bid Monitoring'!N:N,"&lt;&gt;Lost",'Bid Monitoring'!N:N,"&lt;&gt;Cancelled")</f>
        <v>35076412.99</v>
      </c>
      <c r="H11" s="21"/>
      <c r="I11" s="21"/>
      <c r="J11" s="21"/>
    </row>
    <row r="12" ht="9.75" customHeight="1"/>
    <row r="13" ht="30" customHeight="1" spans="1:10">
      <c r="A13" s="22" t="s">
        <v>258</v>
      </c>
      <c r="B13" s="22"/>
      <c r="C13" s="22"/>
      <c r="D13" s="22"/>
      <c r="E13" s="22"/>
      <c r="F13" s="22"/>
      <c r="G13" s="22"/>
      <c r="H13" s="22"/>
      <c r="I13" s="22"/>
      <c r="J13" s="22"/>
    </row>
    <row r="14" ht="24" customHeight="1" spans="1:10">
      <c r="A14" s="18" t="s">
        <v>259</v>
      </c>
      <c r="B14" s="18"/>
      <c r="C14" s="18"/>
      <c r="D14" s="18"/>
      <c r="E14" s="18"/>
      <c r="F14" s="18"/>
      <c r="G14" s="19">
        <f ca="1">COUNTIFS('Bid Monitoring'!A:A,"&gt;="&amp;TODAY()-WEEKDAY(TODAY(),2)+1,'Bid Monitoring'!A:A,"&lt;="&amp;TODAY()-WEEKDAY(TODAY(),2)+7)</f>
        <v>6</v>
      </c>
      <c r="H14" s="19"/>
      <c r="I14" s="19"/>
      <c r="J14" s="19"/>
    </row>
    <row r="15" ht="24" customHeight="1" spans="1:10">
      <c r="A15" s="20" t="s">
        <v>260</v>
      </c>
      <c r="B15" s="20"/>
      <c r="C15" s="20"/>
      <c r="D15" s="20"/>
      <c r="E15" s="20"/>
      <c r="F15" s="20"/>
      <c r="G15" s="21">
        <f ca="1">SUMPRODUCT(('Bid Monitoring'!A3:A102&gt;=TODAY()-WEEKDAY(TODAY(),2)+1)*('Bid Monitoring'!A3:A102&lt;=TODAY()-WEEKDAY(TODAY(),2)+7)*('Bid Monitoring'!H3:H102))</f>
        <v>2124336.14</v>
      </c>
      <c r="H15" s="21"/>
      <c r="I15" s="21"/>
      <c r="J15" s="21"/>
    </row>
    <row r="16" ht="24" customHeight="1" spans="1:10">
      <c r="A16" s="18" t="s">
        <v>261</v>
      </c>
      <c r="B16" s="18"/>
      <c r="C16" s="18"/>
      <c r="D16" s="18"/>
      <c r="E16" s="18"/>
      <c r="F16" s="18"/>
      <c r="G16" s="19">
        <f ca="1">COUNTIFS('Bid Monitoring'!P:P,"&gt;="&amp;TODAY()-WEEKDAY(TODAY(),2)+1,'Bid Monitoring'!P:P,"&lt;="&amp;TODAY()-WEEKDAY(TODAY(),2)+7)</f>
        <v>1</v>
      </c>
      <c r="H16" s="19"/>
      <c r="I16" s="19"/>
      <c r="J16" s="19"/>
    </row>
    <row r="17" ht="24" customHeight="1" spans="1:10">
      <c r="A17" s="20" t="s">
        <v>262</v>
      </c>
      <c r="B17" s="20"/>
      <c r="C17" s="20"/>
      <c r="D17" s="20"/>
      <c r="E17" s="20"/>
      <c r="F17" s="20"/>
      <c r="G17" s="19">
        <f>COUNTIF('Bid Monitoring'!N:N,"Awarded")</f>
        <v>0</v>
      </c>
      <c r="H17" s="19"/>
      <c r="I17" s="19"/>
      <c r="J17" s="19"/>
    </row>
    <row r="18" ht="24" customHeight="1" spans="1:10">
      <c r="A18" s="18" t="s">
        <v>263</v>
      </c>
      <c r="B18" s="18"/>
      <c r="C18" s="18"/>
      <c r="D18" s="18"/>
      <c r="E18" s="18"/>
      <c r="F18" s="18"/>
      <c r="G18" s="19">
        <f>COUNTIF('Bid Monitoring'!N:N,"Lost")</f>
        <v>0</v>
      </c>
      <c r="H18" s="19"/>
      <c r="I18" s="19"/>
      <c r="J18" s="19"/>
    </row>
    <row r="19" ht="24" customHeight="1" spans="1:10">
      <c r="A19" s="20" t="s">
        <v>264</v>
      </c>
      <c r="B19" s="20"/>
      <c r="C19" s="20"/>
      <c r="D19" s="20"/>
      <c r="E19" s="20"/>
      <c r="F19" s="20"/>
      <c r="G19" s="19">
        <f>COUNTIF('Submission Tracker'!G:G,"&lt;&gt;")</f>
        <v>1</v>
      </c>
      <c r="H19" s="19"/>
      <c r="I19" s="19"/>
      <c r="J19" s="19"/>
    </row>
    <row r="20" ht="24" customHeight="1" spans="1:10">
      <c r="A20" s="18" t="s">
        <v>265</v>
      </c>
      <c r="B20" s="18"/>
      <c r="C20" s="18"/>
      <c r="D20" s="18"/>
      <c r="E20" s="18"/>
      <c r="F20" s="18"/>
      <c r="G20" s="23">
        <f>IFERROR(COUNTIF('Bid Monitoring'!N:N,"Awarded")/MAX(1,COUNTIF('Submission Tracker'!G:G,"&lt;&gt;")),0)</f>
        <v>0</v>
      </c>
      <c r="H20" s="23"/>
      <c r="I20" s="23"/>
      <c r="J20" s="23"/>
    </row>
    <row r="21" ht="24" customHeight="1" spans="1:10">
      <c r="A21" s="20" t="s">
        <v>266</v>
      </c>
      <c r="B21" s="20"/>
      <c r="C21" s="20"/>
      <c r="D21" s="20"/>
      <c r="E21" s="20"/>
      <c r="F21" s="20"/>
      <c r="G21" s="19">
        <f ca="1">IFERROR(AVERAGEIF('Bid Monitoring'!S:S,"&gt;0",'Bid Monitoring'!S:S),0)</f>
        <v>44.0625</v>
      </c>
      <c r="H21" s="19"/>
      <c r="I21" s="19"/>
      <c r="J21" s="19"/>
    </row>
    <row r="22" ht="24" customHeight="1" spans="1:10">
      <c r="A22" s="18" t="s">
        <v>267</v>
      </c>
      <c r="B22" s="18"/>
      <c r="C22" s="18"/>
      <c r="D22" s="18"/>
      <c r="E22" s="18"/>
      <c r="F22" s="18"/>
      <c r="G22" s="19">
        <f ca="1">COUNTIF('Bid Monitoring'!U:U,"✅ Highly Recommended")</f>
        <v>1</v>
      </c>
      <c r="H22" s="19"/>
      <c r="I22" s="19"/>
      <c r="J22" s="19"/>
    </row>
    <row r="23" ht="9.75" customHeight="1"/>
    <row r="24" ht="30" customHeight="1" spans="1:10">
      <c r="A24" s="24" t="s">
        <v>268</v>
      </c>
      <c r="B24" s="24"/>
      <c r="C24" s="24"/>
      <c r="D24" s="24"/>
      <c r="E24" s="24"/>
      <c r="F24" s="24"/>
      <c r="G24" s="24"/>
      <c r="H24" s="24"/>
      <c r="I24" s="24"/>
      <c r="J24" s="24"/>
    </row>
    <row r="25" ht="24" customHeight="1" spans="1:10">
      <c r="A25" s="25" t="s">
        <v>269</v>
      </c>
      <c r="B25" s="25" t="s">
        <v>270</v>
      </c>
      <c r="C25" s="25" t="s">
        <v>271</v>
      </c>
      <c r="D25" s="25" t="s">
        <v>272</v>
      </c>
      <c r="E25" s="25" t="s">
        <v>273</v>
      </c>
    </row>
    <row r="26" ht="21.75" customHeight="1" spans="1:10">
      <c r="A26" s="26" t="s">
        <v>274</v>
      </c>
      <c r="B26" s="27" t="s">
        <v>275</v>
      </c>
      <c r="C26" s="28">
        <f>IFERROR(COUNTA('Daily Monitoring Log'!A3:A32)/30,0)</f>
        <v>0.133333333333333</v>
      </c>
      <c r="D26" s="29" t="str">
        <f t="shared" ref="D26:D31" si="0">IFERROR(IF(C26&gt;0,"✅ On Track","⚠️ Monitor"),"")</f>
        <v>✅ On Track</v>
      </c>
      <c r="E26" s="30" t="s">
        <v>276</v>
      </c>
    </row>
    <row r="27" ht="21.75" customHeight="1" spans="1:10">
      <c r="A27" s="31" t="s">
        <v>277</v>
      </c>
      <c r="B27" s="32" t="s">
        <v>278</v>
      </c>
      <c r="C27" s="33">
        <f>IFERROR(COUNTIF('Submission Tracker'!G:G,"&lt;&gt;")/MAX(1,COUNTIF('Bid Monitoring'!N:N,"&lt;&gt;")),0)</f>
        <v>0.0303030303030303</v>
      </c>
      <c r="D27" s="34" t="str">
        <f t="shared" si="0"/>
        <v>✅ On Track</v>
      </c>
      <c r="E27" s="35" t="s">
        <v>276</v>
      </c>
    </row>
    <row r="28" ht="21.75" customHeight="1" spans="1:10">
      <c r="A28" s="26" t="s">
        <v>279</v>
      </c>
      <c r="B28" s="27" t="s">
        <v>280</v>
      </c>
      <c r="C28" s="28">
        <f>IFERROR(COUNTIF('Bid Monitoring'!N:N,"Awarded")/MAX(1,COUNTIF('Submission Tracker'!G:G,"&lt;&gt;")),0)</f>
        <v>0</v>
      </c>
      <c r="D28" s="29" t="str">
        <f t="shared" si="0"/>
        <v>⚠️ Monitor</v>
      </c>
      <c r="E28" s="30" t="s">
        <v>276</v>
      </c>
    </row>
    <row r="29" ht="21.75" customHeight="1" spans="1:10">
      <c r="A29" s="31" t="s">
        <v>281</v>
      </c>
      <c r="B29" s="32" t="s">
        <v>282</v>
      </c>
      <c r="C29" s="36">
        <f ca="1">IFERROR(AVERAGEIF('Bid Monitoring'!P:P,"&gt;0",'Bid Monitoring'!K:K)-AVERAGEIF('Bid Monitoring'!P:P,"&gt;0",'Bid Monitoring'!A:A),0)</f>
        <v>-46189.6</v>
      </c>
      <c r="D29" s="34" t="str">
        <f ca="1" t="shared" si="0"/>
        <v>⚠️ Monitor</v>
      </c>
      <c r="E29" s="35" t="s">
        <v>276</v>
      </c>
    </row>
    <row r="30" ht="21.75" customHeight="1" spans="1:10">
      <c r="A30" s="26" t="s">
        <v>283</v>
      </c>
      <c r="B30" s="27" t="s">
        <v>275</v>
      </c>
      <c r="C30" s="28">
        <f ca="1">IFERROR(COUNTIFS('Bid Monitoring'!L:L,"High",'Bid Monitoring'!N:N,"Submitted")/MAX(1,COUNTIF('Bid Monitoring'!L:L,"High")),0)</f>
        <v>0.16</v>
      </c>
      <c r="D30" s="29" t="str">
        <f ca="1" t="shared" si="0"/>
        <v>✅ On Track</v>
      </c>
      <c r="E30" s="30" t="s">
        <v>276</v>
      </c>
    </row>
    <row r="31" ht="21.75" customHeight="1" spans="1:10">
      <c r="A31" s="31" t="s">
        <v>284</v>
      </c>
      <c r="B31" s="32" t="s">
        <v>285</v>
      </c>
      <c r="C31" s="37">
        <f ca="1">IFERROR(AVERAGEIF('Bid Monitoring'!S:S,"&gt;0",'Bid Monitoring'!S:S),0)</f>
        <v>44.0625</v>
      </c>
      <c r="D31" s="34" t="str">
        <f ca="1" t="shared" si="0"/>
        <v>✅ On Track</v>
      </c>
      <c r="E31" s="35" t="s">
        <v>276</v>
      </c>
    </row>
  </sheetData>
  <mergeCells count="38">
    <mergeCell ref="A1:J1"/>
    <mergeCell ref="A2:E2"/>
    <mergeCell ref="F2:J2"/>
    <mergeCell ref="A4:J4"/>
    <mergeCell ref="A5:F5"/>
    <mergeCell ref="G5:J5"/>
    <mergeCell ref="A6:F6"/>
    <mergeCell ref="G6:J6"/>
    <mergeCell ref="A7:F7"/>
    <mergeCell ref="G7:J7"/>
    <mergeCell ref="A8:F8"/>
    <mergeCell ref="G8:J8"/>
    <mergeCell ref="A9:F9"/>
    <mergeCell ref="G9:J9"/>
    <mergeCell ref="A10:F10"/>
    <mergeCell ref="G10:J10"/>
    <mergeCell ref="A11:F11"/>
    <mergeCell ref="G11:J11"/>
    <mergeCell ref="A13:J13"/>
    <mergeCell ref="A14:F14"/>
    <mergeCell ref="G14:J14"/>
    <mergeCell ref="A15:F15"/>
    <mergeCell ref="G15:J15"/>
    <mergeCell ref="A16:F16"/>
    <mergeCell ref="G16:J16"/>
    <mergeCell ref="A17:F17"/>
    <mergeCell ref="G17:J17"/>
    <mergeCell ref="A18:F18"/>
    <mergeCell ref="G18:J18"/>
    <mergeCell ref="A19:F19"/>
    <mergeCell ref="G19:J19"/>
    <mergeCell ref="A20:F20"/>
    <mergeCell ref="G20:J20"/>
    <mergeCell ref="A21:F21"/>
    <mergeCell ref="G21:J21"/>
    <mergeCell ref="A22:F22"/>
    <mergeCell ref="G22:J22"/>
    <mergeCell ref="A24:J24"/>
  </mergeCells>
  <pageMargins left="0.75" right="0.75" top="1" bottom="1" header="0.511811023622047" footer="0.511811023622047"/>
  <pageSetup paperSize="9" orientation="landscape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showGridLines="0" topLeftCell="A20" workbookViewId="0">
      <selection activeCell="A1" sqref="A1:F1"/>
    </sheetView>
  </sheetViews>
  <sheetFormatPr defaultColWidth="8.71428571428571" defaultRowHeight="15" outlineLevelCol="5"/>
  <cols>
    <col min="1" max="1" width="30" style="1" customWidth="1"/>
    <col min="2" max="6" width="20" style="1" customWidth="1"/>
  </cols>
  <sheetData>
    <row r="1" ht="45" customHeight="1" spans="1:6">
      <c r="A1" s="5" t="s">
        <v>286</v>
      </c>
      <c r="B1" s="5"/>
      <c r="C1" s="5"/>
      <c r="D1" s="5"/>
      <c r="E1" s="5"/>
      <c r="F1" s="5"/>
    </row>
    <row r="2" ht="21.75" customHeight="1" spans="1:6">
      <c r="A2" s="6" t="s">
        <v>287</v>
      </c>
      <c r="B2" s="6"/>
      <c r="C2" s="6"/>
      <c r="D2" s="6"/>
      <c r="E2" s="6"/>
      <c r="F2" s="6"/>
    </row>
    <row r="3" ht="18" customHeight="1" spans="1:6">
      <c r="A3" s="7" t="s">
        <v>288</v>
      </c>
      <c r="B3" s="7"/>
      <c r="C3" s="7"/>
      <c r="D3" s="7"/>
      <c r="E3" s="7"/>
      <c r="F3" s="7"/>
    </row>
    <row r="4" ht="18" customHeight="1" spans="1:6">
      <c r="A4" s="8" t="s">
        <v>289</v>
      </c>
      <c r="B4" s="8"/>
      <c r="C4" s="8"/>
      <c r="D4" s="8"/>
      <c r="E4" s="8"/>
      <c r="F4" s="8"/>
    </row>
    <row r="5" ht="18" customHeight="1" spans="1:6">
      <c r="A5" s="7" t="s">
        <v>290</v>
      </c>
      <c r="B5" s="7"/>
      <c r="C5" s="7"/>
      <c r="D5" s="7"/>
      <c r="E5" s="7"/>
      <c r="F5" s="7"/>
    </row>
    <row r="6" ht="18" customHeight="1" spans="1:6">
      <c r="A6" s="8" t="s">
        <v>291</v>
      </c>
      <c r="B6" s="8"/>
      <c r="C6" s="8"/>
      <c r="D6" s="8"/>
      <c r="E6" s="8"/>
      <c r="F6" s="8"/>
    </row>
    <row r="7" ht="18" customHeight="1" spans="1:6">
      <c r="A7" s="7"/>
      <c r="B7" s="7"/>
      <c r="C7" s="7"/>
      <c r="D7" s="7"/>
      <c r="E7" s="7"/>
      <c r="F7" s="7"/>
    </row>
    <row r="8" ht="21.75" customHeight="1" spans="1:6">
      <c r="A8" s="9" t="s">
        <v>292</v>
      </c>
      <c r="B8" s="9"/>
      <c r="C8" s="9"/>
      <c r="D8" s="9"/>
      <c r="E8" s="9"/>
      <c r="F8" s="9"/>
    </row>
    <row r="9" ht="18" customHeight="1" spans="1:6">
      <c r="A9" s="7" t="s">
        <v>293</v>
      </c>
      <c r="B9" s="7"/>
      <c r="C9" s="7"/>
      <c r="D9" s="7"/>
      <c r="E9" s="7"/>
      <c r="F9" s="7"/>
    </row>
    <row r="10" ht="18" customHeight="1" spans="1:6">
      <c r="A10" s="8" t="s">
        <v>294</v>
      </c>
      <c r="B10" s="8"/>
      <c r="C10" s="8"/>
      <c r="D10" s="8"/>
      <c r="E10" s="8"/>
      <c r="F10" s="8"/>
    </row>
    <row r="11" ht="18" customHeight="1" spans="1:6">
      <c r="A11" s="7" t="s">
        <v>295</v>
      </c>
      <c r="B11" s="7"/>
      <c r="C11" s="7"/>
      <c r="D11" s="7"/>
      <c r="E11" s="7"/>
      <c r="F11" s="7"/>
    </row>
    <row r="12" ht="18" customHeight="1" spans="1:6">
      <c r="A12" s="8" t="s">
        <v>296</v>
      </c>
      <c r="B12" s="8"/>
      <c r="C12" s="8"/>
      <c r="D12" s="8"/>
      <c r="E12" s="8"/>
      <c r="F12" s="8"/>
    </row>
    <row r="13" ht="18" customHeight="1" spans="1:6">
      <c r="A13" s="7" t="s">
        <v>297</v>
      </c>
      <c r="B13" s="7"/>
      <c r="C13" s="7"/>
      <c r="D13" s="7"/>
      <c r="E13" s="7"/>
      <c r="F13" s="7"/>
    </row>
    <row r="14" ht="18" customHeight="1" spans="1:6">
      <c r="A14" s="8"/>
      <c r="B14" s="8"/>
      <c r="C14" s="8"/>
      <c r="D14" s="8"/>
      <c r="E14" s="8"/>
      <c r="F14" s="8"/>
    </row>
    <row r="15" ht="21.75" customHeight="1" spans="1:6">
      <c r="A15" s="10" t="s">
        <v>298</v>
      </c>
      <c r="B15" s="10"/>
      <c r="C15" s="10"/>
      <c r="D15" s="10"/>
      <c r="E15" s="10"/>
      <c r="F15" s="10"/>
    </row>
    <row r="16" ht="18" customHeight="1" spans="1:6">
      <c r="A16" s="8" t="s">
        <v>299</v>
      </c>
      <c r="B16" s="8"/>
      <c r="C16" s="8"/>
      <c r="D16" s="8"/>
      <c r="E16" s="8"/>
      <c r="F16" s="8"/>
    </row>
    <row r="17" ht="18" customHeight="1" spans="1:6">
      <c r="A17" s="7" t="s">
        <v>300</v>
      </c>
      <c r="B17" s="7"/>
      <c r="C17" s="7"/>
      <c r="D17" s="7"/>
      <c r="E17" s="7"/>
      <c r="F17" s="7"/>
    </row>
    <row r="18" ht="18" customHeight="1" spans="1:6">
      <c r="A18" s="8" t="s">
        <v>301</v>
      </c>
      <c r="B18" s="8"/>
      <c r="C18" s="8"/>
      <c r="D18" s="8"/>
      <c r="E18" s="8"/>
      <c r="F18" s="8"/>
    </row>
    <row r="19" ht="18" customHeight="1" spans="1:6">
      <c r="A19" s="7"/>
      <c r="B19" s="7"/>
      <c r="C19" s="7"/>
      <c r="D19" s="7"/>
      <c r="E19" s="7"/>
      <c r="F19" s="7"/>
    </row>
    <row r="20" ht="21.75" customHeight="1" spans="1:6">
      <c r="A20" s="11" t="s">
        <v>302</v>
      </c>
      <c r="B20" s="11"/>
      <c r="C20" s="11"/>
      <c r="D20" s="11"/>
      <c r="E20" s="11"/>
      <c r="F20" s="11"/>
    </row>
    <row r="21" ht="18" customHeight="1" spans="1:6">
      <c r="A21" s="7" t="s">
        <v>303</v>
      </c>
      <c r="B21" s="7"/>
      <c r="C21" s="7"/>
      <c r="D21" s="7"/>
      <c r="E21" s="7"/>
      <c r="F21" s="7"/>
    </row>
    <row r="22" ht="18" customHeight="1" spans="1:6">
      <c r="A22" s="8" t="s">
        <v>304</v>
      </c>
      <c r="B22" s="8"/>
      <c r="C22" s="8"/>
      <c r="D22" s="8"/>
      <c r="E22" s="8"/>
      <c r="F22" s="8"/>
    </row>
    <row r="23" ht="18" customHeight="1" spans="1:6">
      <c r="A23" s="7"/>
      <c r="B23" s="7"/>
      <c r="C23" s="7"/>
      <c r="D23" s="7"/>
      <c r="E23" s="7"/>
      <c r="F23" s="7"/>
    </row>
    <row r="24" ht="21.75" customHeight="1" spans="1:6">
      <c r="A24" s="12" t="s">
        <v>305</v>
      </c>
      <c r="B24" s="12"/>
      <c r="C24" s="12"/>
      <c r="D24" s="12"/>
      <c r="E24" s="12"/>
      <c r="F24" s="12"/>
    </row>
    <row r="25" ht="18" customHeight="1" spans="1:6">
      <c r="A25" s="7" t="s">
        <v>306</v>
      </c>
      <c r="B25" s="7"/>
      <c r="C25" s="7"/>
      <c r="D25" s="7"/>
      <c r="E25" s="7"/>
      <c r="F25" s="7"/>
    </row>
    <row r="26" ht="18" customHeight="1" spans="1:6">
      <c r="A26" s="8" t="s">
        <v>307</v>
      </c>
      <c r="B26" s="8"/>
      <c r="C26" s="8"/>
      <c r="D26" s="8"/>
      <c r="E26" s="8"/>
      <c r="F26" s="8"/>
    </row>
    <row r="27" ht="18" customHeight="1" spans="1:6">
      <c r="A27" s="7" t="s">
        <v>308</v>
      </c>
      <c r="B27" s="7"/>
      <c r="C27" s="7"/>
      <c r="D27" s="7"/>
      <c r="E27" s="7"/>
      <c r="F27" s="7"/>
    </row>
    <row r="28" ht="18" customHeight="1" spans="1:6">
      <c r="A28" s="8"/>
      <c r="B28" s="8"/>
      <c r="C28" s="8"/>
      <c r="D28" s="8"/>
      <c r="E28" s="8"/>
      <c r="F28" s="8"/>
    </row>
    <row r="29" ht="21.75" customHeight="1" spans="1:6">
      <c r="A29" s="13" t="s">
        <v>309</v>
      </c>
      <c r="B29" s="13"/>
      <c r="C29" s="13"/>
      <c r="D29" s="13"/>
      <c r="E29" s="13"/>
      <c r="F29" s="13"/>
    </row>
    <row r="30" ht="18" customHeight="1" spans="1:6">
      <c r="A30" s="8" t="s">
        <v>310</v>
      </c>
      <c r="B30" s="8"/>
      <c r="C30" s="8"/>
      <c r="D30" s="8"/>
      <c r="E30" s="8"/>
      <c r="F30" s="8"/>
    </row>
    <row r="31" ht="18" customHeight="1" spans="1:6">
      <c r="A31" s="7" t="s">
        <v>311</v>
      </c>
      <c r="B31" s="7"/>
      <c r="C31" s="7"/>
      <c r="D31" s="7"/>
      <c r="E31" s="7"/>
      <c r="F31" s="7"/>
    </row>
    <row r="32" ht="18" customHeight="1" spans="1:6">
      <c r="A32" s="8" t="s">
        <v>312</v>
      </c>
      <c r="B32" s="8"/>
      <c r="C32" s="8"/>
      <c r="D32" s="8"/>
      <c r="E32" s="8"/>
      <c r="F32" s="8"/>
    </row>
    <row r="33" ht="18" customHeight="1" spans="1:6">
      <c r="A33" s="7" t="s">
        <v>313</v>
      </c>
      <c r="B33" s="7"/>
      <c r="C33" s="7"/>
      <c r="D33" s="7"/>
      <c r="E33" s="7"/>
      <c r="F33" s="7"/>
    </row>
  </sheetData>
  <mergeCells count="3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showGridLines="0" workbookViewId="0">
      <selection activeCell="A1" sqref="A1"/>
    </sheetView>
  </sheetViews>
  <sheetFormatPr defaultColWidth="8.71428571428571" defaultRowHeight="15" outlineLevelCol="2"/>
  <cols>
    <col min="1" max="1" width="22" style="1" customWidth="1"/>
    <col min="2" max="2" width="10" style="1" customWidth="1"/>
    <col min="3" max="3" width="16" style="1" customWidth="1"/>
  </cols>
  <sheetData>
    <row r="1" customHeight="1" spans="1:3">
      <c r="A1" s="2" t="s">
        <v>314</v>
      </c>
      <c r="B1" s="3" t="s">
        <v>315</v>
      </c>
      <c r="C1" s="3" t="s">
        <v>316</v>
      </c>
    </row>
    <row r="2" customHeight="1" spans="1:3">
      <c r="A2" s="1" t="s">
        <v>64</v>
      </c>
      <c r="B2" s="1">
        <f>COUNTIF('Bid Monitoring'!E:E,A2)</f>
        <v>8</v>
      </c>
      <c r="C2" s="4">
        <f>SUMIF('Bid Monitoring'!E:E,A2,'Bid Monitoring'!H:H)</f>
        <v>8968965.61</v>
      </c>
    </row>
    <row r="3" customHeight="1" spans="1:3">
      <c r="A3" s="1" t="s">
        <v>89</v>
      </c>
      <c r="B3" s="1">
        <f>COUNTIF('Bid Monitoring'!E:E,A3)</f>
        <v>1</v>
      </c>
      <c r="C3" s="4">
        <f>SUMIF('Bid Monitoring'!E:E,A3,'Bid Monitoring'!H:H)</f>
        <v>330240</v>
      </c>
    </row>
    <row r="4" customHeight="1" spans="1:3">
      <c r="A4" s="1" t="s">
        <v>92</v>
      </c>
      <c r="B4" s="1">
        <f>COUNTIF('Bid Monitoring'!E:E,A4)</f>
        <v>7</v>
      </c>
      <c r="C4" s="4">
        <f>SUMIF('Bid Monitoring'!E:E,A4,'Bid Monitoring'!H:H)</f>
        <v>4190951.38</v>
      </c>
    </row>
    <row r="5" customHeight="1" spans="1:3">
      <c r="A5" s="1" t="s">
        <v>95</v>
      </c>
      <c r="B5" s="1">
        <f>COUNTIF('Bid Monitoring'!E:E,A5)</f>
        <v>3</v>
      </c>
      <c r="C5" s="4">
        <f>SUMIF('Bid Monitoring'!E:E,A5,'Bid Monitoring'!H:H)</f>
        <v>1396404</v>
      </c>
    </row>
    <row r="6" customHeight="1" spans="1:3">
      <c r="A6" s="1" t="s">
        <v>71</v>
      </c>
      <c r="B6" s="1">
        <f>COUNTIF('Bid Monitoring'!E:E,A6)</f>
        <v>10</v>
      </c>
      <c r="C6" s="4">
        <f>SUMIF('Bid Monitoring'!E:E,A6,'Bid Monitoring'!H:H)</f>
        <v>82028230</v>
      </c>
    </row>
    <row r="12" customHeight="1" spans="1:3">
      <c r="A12" s="2" t="s">
        <v>317</v>
      </c>
      <c r="B12" s="3" t="s">
        <v>315</v>
      </c>
    </row>
    <row r="13" customHeight="1" spans="1:3">
      <c r="A13" s="1" t="s">
        <v>318</v>
      </c>
      <c r="B13" s="1">
        <f>COUNTIF('Bid Monitoring'!N:N,A13)</f>
        <v>0</v>
      </c>
    </row>
    <row r="14" customHeight="1" spans="1:3">
      <c r="A14" s="1" t="s">
        <v>133</v>
      </c>
      <c r="B14" s="1">
        <f>COUNTIF('Bid Monitoring'!N:N,A14)</f>
        <v>3</v>
      </c>
    </row>
    <row r="15" customHeight="1" spans="1:3">
      <c r="A15" s="1" t="s">
        <v>319</v>
      </c>
      <c r="B15" s="1">
        <f>COUNTIF('Bid Monitoring'!N:N,A15)</f>
        <v>0</v>
      </c>
    </row>
    <row r="16" customHeight="1" spans="1:3">
      <c r="A16" s="1" t="s">
        <v>320</v>
      </c>
      <c r="B16" s="1">
        <f>COUNTIF('Bid Monitoring'!N:N,A16)</f>
        <v>0</v>
      </c>
    </row>
    <row r="17" customHeight="1" spans="1:3">
      <c r="A17" s="1" t="s">
        <v>79</v>
      </c>
      <c r="B17" s="1">
        <f>COUNTIF('Bid Monitoring'!N:N,A17)</f>
        <v>5</v>
      </c>
    </row>
    <row r="18" customHeight="1" spans="1:3">
      <c r="A18" s="1" t="s">
        <v>21</v>
      </c>
      <c r="B18" s="1">
        <f>COUNTIF('Bid Monitoring'!N:N,A18)</f>
        <v>4</v>
      </c>
    </row>
    <row r="19" customHeight="1" spans="1:3">
      <c r="A19" s="1" t="s">
        <v>22</v>
      </c>
      <c r="B19" s="1">
        <f>COUNTIF('Bid Monitoring'!N:N,A19)</f>
        <v>2</v>
      </c>
    </row>
    <row r="20" customHeight="1" spans="1:3">
      <c r="A20" s="1" t="s">
        <v>321</v>
      </c>
      <c r="B20" s="1">
        <f>COUNTIF('Bid Monitoring'!N:N,A20)</f>
        <v>0</v>
      </c>
    </row>
    <row r="21" customHeight="1" spans="1:3">
      <c r="A21" s="1" t="s">
        <v>24</v>
      </c>
      <c r="B21" s="1">
        <f>COUNTIF('Bid Monitoring'!N:N,A21)</f>
        <v>0</v>
      </c>
    </row>
    <row r="22" customHeight="1" spans="1:3">
      <c r="A22" s="1" t="s">
        <v>25</v>
      </c>
      <c r="B22" s="1">
        <f>COUNTIF('Bid Monitoring'!N:N,A22)</f>
        <v>8</v>
      </c>
    </row>
    <row r="24" customHeight="1" spans="1:3">
      <c r="A24" s="2" t="s">
        <v>322</v>
      </c>
      <c r="B24" s="3" t="s">
        <v>315</v>
      </c>
    </row>
    <row r="25" customHeight="1" spans="1:3">
      <c r="A25" s="1" t="s">
        <v>323</v>
      </c>
      <c r="B25" s="1">
        <f ca="1">COUNTIF('Bid Monitoring'!L:L,A25)</f>
        <v>25</v>
      </c>
    </row>
    <row r="26" customHeight="1" spans="1:3">
      <c r="A26" s="1" t="s">
        <v>324</v>
      </c>
      <c r="B26" s="1">
        <f ca="1">COUNTIF('Bid Monitoring'!L:L,A26)</f>
        <v>0</v>
      </c>
    </row>
    <row r="27" customHeight="1" spans="1:3">
      <c r="A27" s="1" t="s">
        <v>73</v>
      </c>
      <c r="B27" s="1">
        <f ca="1">COUNTIF('Bid Monitoring'!L:L,A27)</f>
        <v>7</v>
      </c>
    </row>
    <row r="30" customHeight="1" spans="1:3">
      <c r="A30" s="2" t="s">
        <v>325</v>
      </c>
      <c r="B30" s="3" t="s">
        <v>315</v>
      </c>
      <c r="C30" s="3" t="s">
        <v>316</v>
      </c>
    </row>
    <row r="31" customHeight="1" spans="1:3">
      <c r="A31" s="1" t="s">
        <v>65</v>
      </c>
      <c r="B31" s="1">
        <f>COUNTIF('Bid Monitoring'!F:F,A31)</f>
        <v>32</v>
      </c>
      <c r="C31" s="4">
        <f>SUMIF('Bid Monitoring'!F:F,A31,'Bid Monitoring'!H:H)</f>
        <v>108509550.99</v>
      </c>
    </row>
    <row r="32" customHeight="1" spans="1:3">
      <c r="A32" s="1" t="s">
        <v>326</v>
      </c>
      <c r="B32" s="1">
        <f>COUNTIF('Bid Monitoring'!F:F,A32)</f>
        <v>0</v>
      </c>
      <c r="C32" s="4">
        <f>SUMIF('Bid Monitoring'!F:F,A32,'Bid Monitoring'!H:H)</f>
        <v>0</v>
      </c>
    </row>
    <row r="33" customHeight="1" spans="1:3">
      <c r="A33" s="1" t="s">
        <v>327</v>
      </c>
      <c r="B33" s="1">
        <f>COUNTIF('Bid Monitoring'!F:F,A33)</f>
        <v>0</v>
      </c>
      <c r="C33" s="4">
        <f>SUMIF('Bid Monitoring'!F:F,A33,'Bid Monitoring'!H:H)</f>
        <v>0</v>
      </c>
    </row>
    <row r="34" customHeight="1" spans="1:3">
      <c r="A34" s="1" t="s">
        <v>328</v>
      </c>
      <c r="B34" s="1">
        <f>COUNTIF('Bid Monitoring'!F:F,A34)</f>
        <v>0</v>
      </c>
      <c r="C34" s="4">
        <f>SUMIF('Bid Monitoring'!F:F,A34,'Bid Monitoring'!H:H)</f>
        <v>0</v>
      </c>
    </row>
    <row r="35" customHeight="1" spans="1:3">
      <c r="A35" s="1" t="s">
        <v>329</v>
      </c>
      <c r="B35" s="1">
        <f>COUNTIF('Bid Monitoring'!F:F,A35)</f>
        <v>0</v>
      </c>
      <c r="C35" s="4">
        <f>SUMIF('Bid Monitoring'!F:F,A35,'Bid Monitoring'!H:H)</f>
        <v>0</v>
      </c>
    </row>
    <row r="36" customHeight="1" spans="1:3">
      <c r="A36" s="1" t="s">
        <v>330</v>
      </c>
      <c r="B36" s="1">
        <f>COUNTIF('Bid Monitoring'!F:F,A36)</f>
        <v>0</v>
      </c>
      <c r="C36" s="4">
        <f>SUMIF('Bid Monitoring'!F:F,A36,'Bid Monitoring'!H:H)</f>
        <v>0</v>
      </c>
    </row>
    <row r="37" customHeight="1" spans="1:3">
      <c r="A37" s="1" t="s">
        <v>331</v>
      </c>
      <c r="B37" s="1">
        <f>COUNTIF('Bid Monitoring'!F:F,A37)</f>
        <v>0</v>
      </c>
      <c r="C37" s="4">
        <f>SUMIF('Bid Monitoring'!F:F,A37,'Bid Monitoring'!H:H)</f>
        <v>0</v>
      </c>
    </row>
    <row r="38" customHeight="1" spans="1:3">
      <c r="A38" s="1" t="s">
        <v>332</v>
      </c>
      <c r="B38" s="1">
        <f>COUNTIF('Bid Monitoring'!F:F,A38)</f>
        <v>0</v>
      </c>
      <c r="C38" s="4">
        <f>SUMIF('Bid Monitoring'!F:F,A38,'Bid Monitoring'!H:H)</f>
        <v>0</v>
      </c>
    </row>
    <row r="39" customHeight="1" spans="1:3">
      <c r="A39" s="1" t="s">
        <v>333</v>
      </c>
      <c r="B39" s="1">
        <f>COUNTIF('Bid Monitoring'!F:F,A39)</f>
        <v>0</v>
      </c>
      <c r="C39" s="4">
        <f>SUMIF('Bid Monitoring'!F:F,A39,'Bid Monitoring'!H:H)</f>
        <v>0</v>
      </c>
    </row>
    <row r="40" customHeight="1" spans="1:3">
      <c r="A40" s="1" t="s">
        <v>334</v>
      </c>
      <c r="B40" s="1">
        <f>COUNTIF('Bid Monitoring'!F:F,A40)</f>
        <v>0</v>
      </c>
      <c r="C40" s="4">
        <f>SUMIF('Bid Monitoring'!F:F,A40,'Bid Monitoring'!H:H)</f>
        <v>0</v>
      </c>
    </row>
    <row r="42" customHeight="1" spans="1:3">
      <c r="A42" s="2" t="s">
        <v>335</v>
      </c>
      <c r="B42" s="3" t="s">
        <v>315</v>
      </c>
      <c r="C42" s="3" t="s">
        <v>316</v>
      </c>
    </row>
    <row r="43" customHeight="1" spans="1:3">
      <c r="A43" s="1" t="s">
        <v>336</v>
      </c>
      <c r="B43" s="1">
        <f ca="1">SUMPRODUCT((MONTH('Bid Monitoring'!A3:A200)=1)*(YEAR('Bid Monitoring'!A3:A200)=YEAR(TODAY()))*('Bid Monitoring'!A3:A200&lt;&gt;""))</f>
        <v>0</v>
      </c>
      <c r="C43" s="4">
        <f ca="1">SUMPRODUCT((MONTH('Bid Monitoring'!A3:A200)=1)*(YEAR('Bid Monitoring'!A3:A200)=YEAR(TODAY()))*('Bid Monitoring'!H3:H200))</f>
        <v>0</v>
      </c>
    </row>
    <row r="44" customHeight="1" spans="1:3">
      <c r="A44" s="1" t="s">
        <v>337</v>
      </c>
      <c r="B44" s="1">
        <f ca="1">SUMPRODUCT((MONTH('Bid Monitoring'!A3:A200)=2)*(YEAR('Bid Monitoring'!A3:A200)=YEAR(TODAY()))*('Bid Monitoring'!A3:A200&lt;&gt;""))</f>
        <v>0</v>
      </c>
      <c r="C44" s="4">
        <f ca="1">SUMPRODUCT((MONTH('Bid Monitoring'!A3:A200)=2)*(YEAR('Bid Monitoring'!A3:A200)=YEAR(TODAY()))*('Bid Monitoring'!H3:H200))</f>
        <v>0</v>
      </c>
    </row>
    <row r="45" customHeight="1" spans="1:3">
      <c r="A45" s="1" t="s">
        <v>338</v>
      </c>
      <c r="B45" s="1">
        <f ca="1">SUMPRODUCT((MONTH('Bid Monitoring'!A3:A200)=3)*(YEAR('Bid Monitoring'!A3:A200)=YEAR(TODAY()))*('Bid Monitoring'!A3:A200&lt;&gt;""))</f>
        <v>0</v>
      </c>
      <c r="C45" s="4">
        <f ca="1">SUMPRODUCT((MONTH('Bid Monitoring'!A3:A200)=3)*(YEAR('Bid Monitoring'!A3:A200)=YEAR(TODAY()))*('Bid Monitoring'!H3:H200))</f>
        <v>0</v>
      </c>
    </row>
    <row r="46" customHeight="1" spans="1:3">
      <c r="A46" s="1" t="s">
        <v>339</v>
      </c>
      <c r="B46" s="1">
        <f ca="1">SUMPRODUCT((MONTH('Bid Monitoring'!A3:A200)=4)*(YEAR('Bid Monitoring'!A3:A200)=YEAR(TODAY()))*('Bid Monitoring'!A3:A200&lt;&gt;""))</f>
        <v>0</v>
      </c>
      <c r="C46" s="4">
        <f ca="1">SUMPRODUCT((MONTH('Bid Monitoring'!A3:A200)=4)*(YEAR('Bid Monitoring'!A3:A200)=YEAR(TODAY()))*('Bid Monitoring'!H3:H200))</f>
        <v>0</v>
      </c>
    </row>
    <row r="47" customHeight="1" spans="1:3">
      <c r="A47" s="1" t="s">
        <v>340</v>
      </c>
      <c r="B47" s="1">
        <f ca="1">SUMPRODUCT((MONTH('Bid Monitoring'!A3:A200)=5)*(YEAR('Bid Monitoring'!A3:A200)=YEAR(TODAY()))*('Bid Monitoring'!A3:A200&lt;&gt;""))</f>
        <v>0</v>
      </c>
      <c r="C47" s="4">
        <f ca="1">SUMPRODUCT((MONTH('Bid Monitoring'!A3:A200)=5)*(YEAR('Bid Monitoring'!A3:A200)=YEAR(TODAY()))*('Bid Monitoring'!H3:H200))</f>
        <v>0</v>
      </c>
    </row>
    <row r="48" customHeight="1" spans="1:3">
      <c r="A48" s="1" t="s">
        <v>341</v>
      </c>
      <c r="B48" s="1">
        <f ca="1">SUMPRODUCT((MONTH('Bid Monitoring'!A3:A200)=6)*(YEAR('Bid Monitoring'!A3:A200)=YEAR(TODAY()))*('Bid Monitoring'!A3:A200&lt;&gt;""))</f>
        <v>32</v>
      </c>
      <c r="C48" s="4">
        <f ca="1">SUMPRODUCT((MONTH('Bid Monitoring'!A3:A200)=6)*(YEAR('Bid Monitoring'!A3:A200)=YEAR(TODAY()))*('Bid Monitoring'!H3:H200))</f>
        <v>108509550.99</v>
      </c>
    </row>
    <row r="49" customHeight="1" spans="1:3">
      <c r="A49" s="1" t="s">
        <v>342</v>
      </c>
      <c r="B49" s="1">
        <f ca="1">SUMPRODUCT((MONTH('Bid Monitoring'!A3:A200)=7)*(YEAR('Bid Monitoring'!A3:A200)=YEAR(TODAY()))*('Bid Monitoring'!A3:A200&lt;&gt;""))</f>
        <v>0</v>
      </c>
      <c r="C49" s="4">
        <f ca="1">SUMPRODUCT((MONTH('Bid Monitoring'!A3:A200)=7)*(YEAR('Bid Monitoring'!A3:A200)=YEAR(TODAY()))*('Bid Monitoring'!H3:H200))</f>
        <v>0</v>
      </c>
    </row>
    <row r="50" customHeight="1" spans="1:3">
      <c r="A50" s="1" t="s">
        <v>343</v>
      </c>
      <c r="B50" s="1">
        <f ca="1">SUMPRODUCT((MONTH('Bid Monitoring'!A3:A200)=8)*(YEAR('Bid Monitoring'!A3:A200)=YEAR(TODAY()))*('Bid Monitoring'!A3:A200&lt;&gt;""))</f>
        <v>0</v>
      </c>
      <c r="C50" s="4">
        <f ca="1">SUMPRODUCT((MONTH('Bid Monitoring'!A3:A200)=8)*(YEAR('Bid Monitoring'!A3:A200)=YEAR(TODAY()))*('Bid Monitoring'!H3:H200))</f>
        <v>0</v>
      </c>
    </row>
    <row r="51" customHeight="1" spans="1:3">
      <c r="A51" s="1" t="s">
        <v>344</v>
      </c>
      <c r="B51" s="1">
        <f ca="1">SUMPRODUCT((MONTH('Bid Monitoring'!A3:A200)=9)*(YEAR('Bid Monitoring'!A3:A200)=YEAR(TODAY()))*('Bid Monitoring'!A3:A200&lt;&gt;""))</f>
        <v>0</v>
      </c>
      <c r="C51" s="4">
        <f ca="1">SUMPRODUCT((MONTH('Bid Monitoring'!A3:A200)=9)*(YEAR('Bid Monitoring'!A3:A200)=YEAR(TODAY()))*('Bid Monitoring'!H3:H200))</f>
        <v>0</v>
      </c>
    </row>
    <row r="52" customHeight="1" spans="1:3">
      <c r="A52" s="1" t="s">
        <v>345</v>
      </c>
      <c r="B52" s="1">
        <f ca="1">SUMPRODUCT((MONTH('Bid Monitoring'!A3:A200)=10)*(YEAR('Bid Monitoring'!A3:A200)=YEAR(TODAY()))*('Bid Monitoring'!A3:A200&lt;&gt;""))</f>
        <v>0</v>
      </c>
      <c r="C52" s="4">
        <f ca="1">SUMPRODUCT((MONTH('Bid Monitoring'!A3:A200)=10)*(YEAR('Bid Monitoring'!A3:A200)=YEAR(TODAY()))*('Bid Monitoring'!H3:H200))</f>
        <v>0</v>
      </c>
    </row>
    <row r="53" customHeight="1" spans="1:3">
      <c r="A53" s="1" t="s">
        <v>346</v>
      </c>
      <c r="B53" s="1">
        <f ca="1">SUMPRODUCT((MONTH('Bid Monitoring'!A3:A200)=11)*(YEAR('Bid Monitoring'!A3:A200)=YEAR(TODAY()))*('Bid Monitoring'!A3:A200&lt;&gt;""))</f>
        <v>0</v>
      </c>
      <c r="C53" s="4">
        <f ca="1">SUMPRODUCT((MONTH('Bid Monitoring'!A3:A200)=11)*(YEAR('Bid Monitoring'!A3:A200)=YEAR(TODAY()))*('Bid Monitoring'!H3:H200))</f>
        <v>0</v>
      </c>
    </row>
    <row r="54" customHeight="1" spans="1:3">
      <c r="A54" s="1" t="s">
        <v>347</v>
      </c>
      <c r="B54" s="1">
        <f ca="1">SUMPRODUCT((MONTH('Bid Monitoring'!A3:A200)=12)*(YEAR('Bid Monitoring'!A3:A200)=YEAR(TODAY()))*('Bid Monitoring'!A3:A200&lt;&gt;""))</f>
        <v>0</v>
      </c>
      <c r="C54" s="4">
        <f ca="1">SUMPRODUCT((MONTH('Bid Monitoring'!A3:A200)=12)*(YEAR('Bid Monitoring'!A3:A200)=YEAR(TODAY()))*('Bid Monitoring'!H3:H200))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Bid Monitoring</vt:lpstr>
      <vt:lpstr>Search &amp; Filter</vt:lpstr>
      <vt:lpstr>Summary Report</vt:lpstr>
      <vt:lpstr>Daily Monitoring Log</vt:lpstr>
      <vt:lpstr>Submission Tracker</vt:lpstr>
      <vt:lpstr>Manager Report</vt:lpstr>
      <vt:lpstr>Instructions</vt:lpstr>
      <vt:lpstr>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4</cp:revision>
  <dcterms:created xsi:type="dcterms:W3CDTF">2026-06-07T05:28:00Z</dcterms:created>
  <cp:lastPrinted>2026-06-10T07:00:00Z</cp:lastPrinted>
  <dcterms:modified xsi:type="dcterms:W3CDTF">2026-06-20T06:37:30Z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F4A0FA9B47724A77B5A1AF97257819FC_13</vt:lpwstr>
  </property>
  <property fmtid="{D5CDD505-2E9C-101B-9397-08002B2CF9AE}" pid="4" name="KSOProductBuildVer">
    <vt:lpwstr>1033-12.1.0.26880</vt:lpwstr>
  </property>
  <property fmtid="{D5CDD505-2E9C-101B-9397-08002B2CF9AE}" pid="5" name="KSOReadingLayout">
    <vt:bool>false</vt:bool>
  </property>
</Properties>
</file>